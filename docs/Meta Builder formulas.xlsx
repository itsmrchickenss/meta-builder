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lculator" sheetId="2" state="visible" r:id="rId4"/>
    <sheet name="Formulas" sheetId="3" state="visible" r:id="rId5"/>
    <sheet name="Talents" sheetId="4" state="visible" r:id="rId6"/>
    <sheet name="Mantras" sheetId="5" state="visible" r:id="rId7"/>
    <sheet name="Weapons" sheetId="6" state="visible" r:id="rId8"/>
    <sheet name="Outfits" sheetId="7" state="visible" r:id="rId9"/>
    <sheet name="Equipment" sheetId="8" state="visible" r:id="rId10"/>
    <sheet name="Enchants" sheetId="9" state="visible" r:id="rId11"/>
    <sheet name="Oaths" sheetId="10" state="visible" r:id="rId12"/>
    <sheet name="Presets" sheetId="11" state="visible" r:id="rId13"/>
    <sheet name="Constants" sheetId="12" state="visible" r:id="rId14"/>
  </sheets>
  <definedNames>
    <definedName function="false" hidden="true" localSheetId="7" name="_xlnm._FilterDatabase" vbProcedure="false">Equipment!$A$1:$I$299</definedName>
    <definedName function="false" hidden="true" localSheetId="2" name="_xlnm._FilterDatabase" vbProcedure="false">Formulas!$A$1:$E$46</definedName>
    <definedName function="false" hidden="true" localSheetId="4" name="_xlnm._FilterDatabase" vbProcedure="false">Mantras!$A$1:$P$231</definedName>
    <definedName function="false" hidden="true" localSheetId="6" name="_xlnm._FilterDatabase" vbProcedure="false">Outfits!$A$1:$F$87</definedName>
    <definedName function="false" hidden="true" localSheetId="3" name="_xlnm._FilterDatabase" vbProcedure="false">Talents!$A$1:$R$623</definedName>
    <definedName function="false" hidden="true" localSheetId="5" name="_xlnm._FilterDatabase" vbProcedure="false">Weapons!$A$1:$L$232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<sst xmlns="http://schemas.openxmlformats.org/spreadsheetml/2006/main" count="9700" uniqueCount="3911">
  <si>
    <t xml:space="preserve">Meta Builder: how every stat and talent is calculated</t>
  </si>
  <si>
    <t xml:space="preserve">Version</t>
  </si>
  <si>
    <t xml:space="preserve">v0.25 (pre-release). Built from the app's own code and data, so the numbers match what the planner uses.</t>
  </si>
  <si>
    <t xml:space="preserve">Game data</t>
  </si>
  <si>
    <t xml:space="preserve">deepwoken.co (talents, mantras, weapons, equipment, oaths, reference builds; October 2026). Traits: deepwoken.fandom.com/wiki/Traits.</t>
  </si>
  <si>
    <t xml:space="preserve">Sheet</t>
  </si>
  <si>
    <t xml:space="preserve">What it has</t>
  </si>
  <si>
    <t xml:space="preserve">Calculator</t>
  </si>
  <si>
    <t xml:space="preserve">Type stats in the yellow cells (blue text) and every result recalculates: Power, points left, talent cap, health and effective health, weapon damage, mantra damage, trait effects.</t>
  </si>
  <si>
    <t xml:space="preserve">Formulas</t>
  </si>
  <si>
    <t xml:space="preserve">Every calculation the app does, in plain words and as a formula, with where it lives in the code (src/template.html).</t>
  </si>
  <si>
    <t xml:space="preserve">Talents</t>
  </si>
  <si>
    <t xml:space="preserve">All 622 talents: requirements, cheapest way to meet them, whether they can be taken before the shrine, popularity, take rate given stats, damage/PEN bonus, synergies, exclusives, description.</t>
  </si>
  <si>
    <t xml:space="preserve">Mantras</t>
  </si>
  <si>
    <t xml:space="preserve">All 230 mantras: attunement, category, requirement, stat scaling, damage at levels 1-5, and live damage with the Calculator stats.</t>
  </si>
  <si>
    <t xml:space="preserve">Weapons</t>
  </si>
  <si>
    <t xml:space="preserve">All 231 weapons: type, requirement, base damage, PEN, stat scaling, and live hit damage with the Calculator stats.</t>
  </si>
  <si>
    <t xml:space="preserve">Outfits</t>
  </si>
  <si>
    <t xml:space="preserve">All outfits: physical/elemental armor, durability, requirement, talents they give.</t>
  </si>
  <si>
    <t xml:space="preserve">Equipment</t>
  </si>
  <si>
    <t xml:space="preserve">All equipment pieces: slot, health/armor, pip slots, requirement, set, talents they give.</t>
  </si>
  <si>
    <t xml:space="preserve">Enchants</t>
  </si>
  <si>
    <t xml:space="preserve">Weapon enchants and how each is counted.</t>
  </si>
  <si>
    <t xml:space="preserve">Oaths</t>
  </si>
  <si>
    <t xml:space="preserve">Each oath's stat requirement options and notes.</t>
  </si>
  <si>
    <t xml:space="preserve">Presets</t>
  </si>
  <si>
    <t xml:space="preserve">The starting presets (stats only).</t>
  </si>
  <si>
    <t xml:space="preserve">Constants</t>
  </si>
  <si>
    <t xml:space="preserve">Fixed numbers the formulas use (budget, shrine, armor, pip values...).</t>
  </si>
  <si>
    <t xml:space="preserve">Colours</t>
  </si>
  <si>
    <t xml:space="preserve">Yellow cell with blue text = an input you can change. Green cell = a result (formula). Everything else is reference data.</t>
  </si>
  <si>
    <t xml:space="preserve">Codes</t>
  </si>
  <si>
    <t xml:space="preserve">STR Strength, FTD Fortitude, AGL Agility, INT Intelligence, WLL Willpower, CHA Charisma, HVY/MED/LHT Heavy/Medium/Light weapon, FLM Flamecharm, ICE Frostdraw, LTN Thundercall, WND Galebreathe, SDW Shadowcast, IRN Ironsing, BLD Bloodrend, MND = highest of INT/WLL/CHA, BOD = highest of STR/FTD/AGL, PWR = Power.</t>
  </si>
  <si>
    <t xml:space="preserve">Change the yellow cells. Green cells are formulas. Take the "Before shrine", "Shrine leaves" and "Final" numbers from the app's stats table (Stats tab).</t>
  </si>
  <si>
    <t xml:space="preserve">Stats</t>
  </si>
  <si>
    <t xml:space="preserve">Code</t>
  </si>
  <si>
    <t xml:space="preserve">Stat</t>
  </si>
  <si>
    <t xml:space="preserve">Before shrine</t>
  </si>
  <si>
    <t xml:space="preserve">Shrine leaves</t>
  </si>
  <si>
    <t xml:space="preserve">Final</t>
  </si>
  <si>
    <t xml:space="preserve">Added after shrine</t>
  </si>
  <si>
    <t xml:space="preserve">STR</t>
  </si>
  <si>
    <t xml:space="preserve">Strength</t>
  </si>
  <si>
    <t xml:space="preserve">FTD</t>
  </si>
  <si>
    <t xml:space="preserve">Fortitude</t>
  </si>
  <si>
    <t xml:space="preserve">AGL</t>
  </si>
  <si>
    <t xml:space="preserve">Agility</t>
  </si>
  <si>
    <t xml:space="preserve">INT</t>
  </si>
  <si>
    <t xml:space="preserve">Intelligence</t>
  </si>
  <si>
    <t xml:space="preserve">WLL</t>
  </si>
  <si>
    <t xml:space="preserve">Willpower</t>
  </si>
  <si>
    <t xml:space="preserve">CHA</t>
  </si>
  <si>
    <t xml:space="preserve">Charisma</t>
  </si>
  <si>
    <t xml:space="preserve">HVY</t>
  </si>
  <si>
    <t xml:space="preserve">Heavy weapon</t>
  </si>
  <si>
    <t xml:space="preserve">MED</t>
  </si>
  <si>
    <t xml:space="preserve">Medium weapon</t>
  </si>
  <si>
    <t xml:space="preserve">LHT</t>
  </si>
  <si>
    <t xml:space="preserve">Light weapon</t>
  </si>
  <si>
    <t xml:space="preserve">FLM</t>
  </si>
  <si>
    <t xml:space="preserve">Flamecharm</t>
  </si>
  <si>
    <t xml:space="preserve">ICE</t>
  </si>
  <si>
    <t xml:space="preserve">Frostdraw</t>
  </si>
  <si>
    <t xml:space="preserve">LTN</t>
  </si>
  <si>
    <t xml:space="preserve">Thundercall</t>
  </si>
  <si>
    <t xml:space="preserve">WND</t>
  </si>
  <si>
    <t xml:space="preserve">Galebreathe</t>
  </si>
  <si>
    <t xml:space="preserve">SDW</t>
  </si>
  <si>
    <t xml:space="preserve">Shadowcast</t>
  </si>
  <si>
    <t xml:space="preserve">IRN</t>
  </si>
  <si>
    <t xml:space="preserve">Ironsing</t>
  </si>
  <si>
    <t xml:space="preserve">BLD</t>
  </si>
  <si>
    <t xml:space="preserve">Bloodrend</t>
  </si>
  <si>
    <t xml:space="preserve">MND</t>
  </si>
  <si>
    <t xml:space="preserve">Mind (highest of INT/WLL/CHA)</t>
  </si>
  <si>
    <t xml:space="preserve">BOD</t>
  </si>
  <si>
    <t xml:space="preserve">Body (highest of STR/FTD/AGL)</t>
  </si>
  <si>
    <t xml:space="preserve">Example values are the Iron Samurai example build.</t>
  </si>
  <si>
    <t xml:space="preserve">Traits (separate 12-point pool, max 6 each)</t>
  </si>
  <si>
    <t xml:space="preserve">Vitality</t>
  </si>
  <si>
    <t xml:space="preserve">+10 health per point</t>
  </si>
  <si>
    <t xml:space="preserve">Proficiency</t>
  </si>
  <si>
    <t xml:space="preserve">weapon scaling x(1+6.5%/pt), +2.5% weapon PEN/pt</t>
  </si>
  <si>
    <t xml:space="preserve">Songchant</t>
  </si>
  <si>
    <t xml:space="preserve">mantra scaling x(1+6.5%/pt), +2.5% mantra PEN/pt</t>
  </si>
  <si>
    <t xml:space="preserve">Erudition</t>
  </si>
  <si>
    <t xml:space="preserve">+30 ether, +5 tempo, +5% tempo gain per point</t>
  </si>
  <si>
    <t xml:space="preserve">Trait points left</t>
  </si>
  <si>
    <t xml:space="preserve">must not go below 0; each trait at most 6</t>
  </si>
  <si>
    <t xml:space="preserve">Weapon and damage bonuses</t>
  </si>
  <si>
    <t xml:space="preserve">Weapon (name from the Weapons sheet)</t>
  </si>
  <si>
    <t xml:space="preserve">Shattered Katana</t>
  </si>
  <si>
    <t xml:space="preserve">pick any name in the Weapons sheet</t>
  </si>
  <si>
    <t xml:space="preserve">Base damage</t>
  </si>
  <si>
    <t xml:space="preserve">Weapon PEN</t>
  </si>
  <si>
    <t xml:space="preserve">Extra PEN from talents</t>
  </si>
  <si>
    <t xml:space="preserve">sum of talent PEN (Talents sheet, PEN column)</t>
  </si>
  <si>
    <t xml:space="preserve">Unique damage bonus (not capped)</t>
  </si>
  <si>
    <t xml:space="preserve">talents marked unique add outside the cap</t>
  </si>
  <si>
    <t xml:space="preserve">Talent damage bonus (raw sum)</t>
  </si>
  <si>
    <t xml:space="preserve">sum of the Damage column of your talents</t>
  </si>
  <si>
    <t xml:space="preserve">Enchant hit multiplier</t>
  </si>
  <si>
    <t xml:space="preserve">Enchants sheet: e.g. Deferred 1.07</t>
  </si>
  <si>
    <t xml:space="preserve">Enchant PEN</t>
  </si>
  <si>
    <t xml:space="preserve">Enchants sheet: e.g. Sear 0.05</t>
  </si>
  <si>
    <t xml:space="preserve">Soulbreaker oath? (1 = yes)</t>
  </si>
  <si>
    <t xml:space="preserve">adds +2.5% damage bonus</t>
  </si>
  <si>
    <t xml:space="preserve">PEN cap removed by a talent? (1 = yes)</t>
  </si>
  <si>
    <t xml:space="preserve">some talents lift the 50% cap</t>
  </si>
  <si>
    <t xml:space="preserve">Talent damage bonus incl. oath</t>
  </si>
  <si>
    <t xml:space="preserve">PEN cap</t>
  </si>
  <si>
    <t xml:space="preserve">Damage bonus after soft cap</t>
  </si>
  <si>
    <t xml:space="preserve">full to +25%, half past it, max +50%</t>
  </si>
  <si>
    <t xml:space="preserve">Weapon stat scaling sum (h)</t>
  </si>
  <si>
    <t xml:space="preserve">sum of scaling coefficient x final stat</t>
  </si>
  <si>
    <t xml:space="preserve">Scaled damage</t>
  </si>
  <si>
    <t xml:space="preserve">base x (1 + 0.75 x h x (1 + 6.5% x Proficiency) / 1000)</t>
  </si>
  <si>
    <t xml:space="preserve">PEN before cap</t>
  </si>
  <si>
    <t xml:space="preserve">weapon PEN + Strength/10 x 1% + talents + enchant + 2.5% x Proficiency</t>
  </si>
  <si>
    <t xml:space="preserve">PEN used</t>
  </si>
  <si>
    <t xml:space="preserve">Weapon hit vs armor</t>
  </si>
  <si>
    <t xml:space="preserve">scaled x (1 + bonus) x enchant x (1 - (1 - PEN) x 30% armor)</t>
  </si>
  <si>
    <t xml:space="preserve">Mantra damage</t>
  </si>
  <si>
    <t xml:space="preserve">Mantra (name from the Mantras sheet)</t>
  </si>
  <si>
    <t xml:space="preserve">Rising Thunder</t>
  </si>
  <si>
    <t xml:space="preserve">pick a combat mantra</t>
  </si>
  <si>
    <t xml:space="preserve">Mantra level (from its attunement)</t>
  </si>
  <si>
    <t xml:space="preserve">level = 1 + attunement / 20 (1 to 5)</t>
  </si>
  <si>
    <t xml:space="preserve">Mantra hit vs armor</t>
  </si>
  <si>
    <t xml:space="preserve">level damage x (1 + scaling x (1 + 6.5% x Songchant)) x (1 + bonus) x (1 - (1 - PEN) x 30%)</t>
  </si>
  <si>
    <t xml:space="preserve">Points and Power</t>
  </si>
  <si>
    <t xml:space="preserve">Points before the shrine</t>
  </si>
  <si>
    <t xml:space="preserve">Power at the shrine</t>
  </si>
  <si>
    <t xml:space="preserve">Power = (points - 15) / 15, rounded down, 0 to 20</t>
  </si>
  <si>
    <t xml:space="preserve">Shrine of Order allowed?</t>
  </si>
  <si>
    <t xml:space="preserve">Shrine refund (points the shrine returns)</t>
  </si>
  <si>
    <t xml:space="preserve">shrine leaves fewer points than went in; the rest come back</t>
  </si>
  <si>
    <t xml:space="preserve">Points added after the shrine</t>
  </si>
  <si>
    <t xml:space="preserve">Attunement free points</t>
  </si>
  <si>
    <t xml:space="preserve">every attunement after the first gets its first point free</t>
  </si>
  <si>
    <t xml:space="preserve">Points used</t>
  </si>
  <si>
    <t xml:space="preserve">Points left (of 330)</t>
  </si>
  <si>
    <t xml:space="preserve">Final Power</t>
  </si>
  <si>
    <t xml:space="preserve">Points to next Power</t>
  </si>
  <si>
    <t xml:space="preserve">Talents and health</t>
  </si>
  <si>
    <t xml:space="preserve">Normal mantras in the build</t>
  </si>
  <si>
    <t xml:space="preserve">Talent cap</t>
  </si>
  <si>
    <t xml:space="preserve">52 + (12 - normal mantras) x 2</t>
  </si>
  <si>
    <t xml:space="preserve">Health from equipment pips</t>
  </si>
  <si>
    <t xml:space="preserve">Armor tab: health from pips and items</t>
  </si>
  <si>
    <t xml:space="preserve">Physical armor % from equipment</t>
  </si>
  <si>
    <t xml:space="preserve">Armor tab: physical armor</t>
  </si>
  <si>
    <t xml:space="preserve">Health</t>
  </si>
  <si>
    <t xml:space="preserve">220 + 4 x Power 20 + Fortitude (0.5 each to 50, 0.25 past) + 10 x Vitality + gear</t>
  </si>
  <si>
    <t xml:space="preserve">Physical resistance</t>
  </si>
  <si>
    <t xml:space="preserve">armor % x (1 - 35% assumed penetration)</t>
  </si>
  <si>
    <t xml:space="preserve">Effective health vs physical</t>
  </si>
  <si>
    <t xml:space="preserve">Ether from Erudition</t>
  </si>
  <si>
    <t xml:space="preserve">Tempo from Erudition</t>
  </si>
  <si>
    <t xml:space="preserve">Area</t>
  </si>
  <si>
    <t xml:space="preserve">What</t>
  </si>
  <si>
    <t xml:space="preserve">How it is calculated</t>
  </si>
  <si>
    <t xml:space="preserve">Formula</t>
  </si>
  <si>
    <t xml:space="preserve">In the code</t>
  </si>
  <si>
    <t xml:space="preserve">Points</t>
  </si>
  <si>
    <t xml:space="preserve">Stat budget</t>
  </si>
  <si>
    <t xml:space="preserve">A Power 20 character has 330 points. Points used = points before the shrine - shrine refund + points added after - free attunement points - Shrine of Mastery refunds.</t>
  </si>
  <si>
    <t xml:space="preserve">used = preSum - refund + postSum - max(0, attunements-1) - mastery</t>
  </si>
  <si>
    <t xml:space="preserve">evaluate()</t>
  </si>
  <si>
    <t xml:space="preserve">Power</t>
  </si>
  <si>
    <t xml:space="preserve">Power from points invested.</t>
  </si>
  <si>
    <t xml:space="preserve">Power = clamp(floor((points - 15) / 15), 0, 20)</t>
  </si>
  <si>
    <t xml:space="preserve">powerAt()</t>
  </si>
  <si>
    <t xml:space="preserve">Next Power</t>
  </si>
  <si>
    <t xml:space="preserve">Points still needed for the next Power level.</t>
  </si>
  <si>
    <t xml:space="preserve">15 x (Power + 2) - points used</t>
  </si>
  <si>
    <t xml:space="preserve">renderFinal()</t>
  </si>
  <si>
    <t xml:space="preserve">Free attunement points</t>
  </si>
  <si>
    <t xml:space="preserve">Every attunement after the first gets its first point free.</t>
  </si>
  <si>
    <t xml:space="preserve">discount = max(0, number of attunements above 0 - 1)</t>
  </si>
  <si>
    <t xml:space="preserve">Shrine of Order</t>
  </si>
  <si>
    <t xml:space="preserve">When it can be used</t>
  </si>
  <si>
    <t xml:space="preserve">Only at Power 8 or higher (135 points invested before it). Below that the plan skips the shrine and the stats carry straight through.</t>
  </si>
  <si>
    <t xml:space="preserve">allowed = Power(preSum) &gt;= 8</t>
  </si>
  <si>
    <t xml:space="preserve">evaluate(), SHRINE_PWR</t>
  </si>
  <si>
    <t xml:space="preserve">Averaging (deepwoken.co algorithm)</t>
  </si>
  <si>
    <t xml:space="preserve">Every stat above 0 is set to the average of the invested stats. No attribute may end more than 25 below its pre-shrine value: those are pinned at pre - 25 and the difference is taken evenly from the others (repeat until stable; attunements are exempt). Then values are rounded down, and leftover whole points are handed out one each to the unpinned stats while none would pass 100. Anything left is refunded.</t>
  </si>
  <si>
    <t xml:space="preserve">avg = sum/count; pinned k: pre_k - 25; others share the rest; floor; distribute remainder; refund = what is left</t>
  </si>
  <si>
    <t xml:space="preserve">shrine()</t>
  </si>
  <si>
    <t xml:space="preserve">Pre-shrine is the peak</t>
  </si>
  <si>
    <t xml:space="preserve">An attribute (STR..CHA) raised above 1 before the shrine gets no points after it: either about 1 before and the rest after, or high before and the shrine brings it down. Weapon and attunement stats may be raised again (top builds do Ironsing 60 -&gt; 80). Breaking it costs 20 points per point in the optimizer score.</t>
  </si>
  <si>
    <t xml:space="preserve">penalty = 20 x sum of points added after the shrine to attributes that were &gt; 1 before</t>
  </si>
  <si>
    <t xml:space="preserve">evaluate() reup</t>
  </si>
  <si>
    <t xml:space="preserve">Shrine of Mastery</t>
  </si>
  <si>
    <t xml:space="preserve">Refunds</t>
  </si>
  <si>
    <t xml:space="preserve">Up to 3 points come off before (pre) or after (post) the Order shrine and are refunded; talents already taken stay.</t>
  </si>
  <si>
    <t xml:space="preserve">used -= mastery points</t>
  </si>
  <si>
    <t xml:space="preserve">evaluate(), masteryOf()</t>
  </si>
  <si>
    <t xml:space="preserve">Requirements</t>
  </si>
  <si>
    <t xml:space="preserve">Talent requirement options</t>
  </si>
  <si>
    <t xml:space="preserve">A talent can need stats (min values), "one of" groups (each option merged into the minimums, up to 16 options), combined sums (e.g. 75 combined weapon), prerequisite talents and mantras. Body = highest of STR/FTD/AGL, Mind = highest of INT/WLL/CHA, any weapon / any attunement expand into one option per stat.</t>
  </si>
  <si>
    <t xml:space="preserve">alternatives = expand(stats) x expand(one-of groups); each alternative = {min:{stat:value}, sum:[[stats],value]}</t>
  </si>
  <si>
    <t xml:space="preserve">reqAlts(), expandStats()</t>
  </si>
  <si>
    <t xml:space="preserve">Prerequisite chains</t>
  </si>
  <si>
    <t xml:space="preserve">A talent's requirement includes the stat needs of every prerequisite talent before it (merged as the highest of each stat).</t>
  </si>
  <si>
    <t xml:space="preserve">chain(t) = merge(req(t), chain(each prerequisite))</t>
  </si>
  <si>
    <t xml:space="preserve">chainAlts(), chainStatic()</t>
  </si>
  <si>
    <t xml:space="preserve">Cost to meet</t>
  </si>
  <si>
    <t xml:space="preserve">Points needed to meet an alternative from given stats: the sum of what each minimum is short, plus what each combined sum is short. The cheapest alternative counts.</t>
  </si>
  <si>
    <t xml:space="preserve">cost = sum max(0, min_k - stat_k) + sum max(0, sumValue - sum of its stats); bestCost = min over alternatives</t>
  </si>
  <si>
    <t xml:space="preserve">altCost(), bestCost()</t>
  </si>
  <si>
    <t xml:space="preserve">Taken before the shrine</t>
  </si>
  <si>
    <t xml:space="preserve">A talent can be taken before the shrine if every alternative uses only minimums (no combined sums) and the pre-shrine stats meet it; then the shrine may lower those stats and it stays.</t>
  </si>
  <si>
    <t xml:space="preserve">canPre = has stats and no combined sums; taken pre if cost(alt, preStats) = 0</t>
  </si>
  <si>
    <t xml:space="preserve">canPre(), evaluate()</t>
  </si>
  <si>
    <t xml:space="preserve">Silentheart</t>
  </si>
  <si>
    <t xml:space="preserve">Weapon stat requirements on weapons are 25 lower.</t>
  </si>
  <si>
    <t xml:space="preserve">weapon req = max(0, req - 25)</t>
  </si>
  <si>
    <t xml:space="preserve">reqAlts() isWeaponReq</t>
  </si>
  <si>
    <t xml:space="preserve">Weapon type filling</t>
  </si>
  <si>
    <t xml:space="preserve">When a combined weapon/attunement sum needs points, they go first to your weapon type, then your attunements, then stats your weapon scales with, then the highest.</t>
  </si>
  <si>
    <t xml:space="preserve">fillPriority order</t>
  </si>
  <si>
    <t xml:space="preserve">fillPriority(), applyAlt()</t>
  </si>
  <si>
    <t xml:space="preserve">How many talents fit. Each normal mantra uses 2 talent slots.</t>
  </si>
  <si>
    <t xml:space="preserve">cap = 52 + (12 - normal mantras) x 2</t>
  </si>
  <si>
    <t xml:space="preserve">counts()</t>
  </si>
  <si>
    <t xml:space="preserve">Popularity</t>
  </si>
  <si>
    <t xml:space="preserve">Share of 802 top-rated and most-viewed deepwoken.co builds that take the talent.</t>
  </si>
  <si>
    <t xml:space="preserve">POP = builds with talent / builds</t>
  </si>
  <si>
    <t xml:space="preserve">POP (data: pop)</t>
  </si>
  <si>
    <t xml:space="preserve">Take rate given stats</t>
  </si>
  <si>
    <t xml:space="preserve">Of 500 top deepwoken.co builds whose stats allow the talent, the share that take it (shown when at least 5 builds qualify).</t>
  </si>
  <si>
    <t xml:space="preserve">rate = k / m</t>
  </si>
  <si>
    <t xml:space="preserve">condRate(), CONDD (data: cond.txt)</t>
  </si>
  <si>
    <t xml:space="preserve">Value of a talent</t>
  </si>
  <si>
    <t xml:space="preserve">Used when dropping talents and in Optimize trimming. Weapon/attunement talents (kit) count much more; the damage&lt;-&gt;talent options slider shifts weight between damage talents and popular/synergy talents.</t>
  </si>
  <si>
    <t xml:space="preserve">value = 90 x kit + (1 + popularity + synergy x 15) x (0.4 + 1.2 x slider) + (damage + PEN) x 100 x (0.2 + 3.6 x (1 - slider))</t>
  </si>
  <si>
    <t xml:space="preserve">talentVal(), kitOf()</t>
  </si>
  <si>
    <t xml:space="preserve">Kit (your weapon / attunement)</t>
  </si>
  <si>
    <t xml:space="preserve">1 when a talent (with its prerequisites) needs your weapon type stat or one of your attunements, or its category names them.</t>
  </si>
  <si>
    <t xml:space="preserve">kit = 1 if req stats include weapon type or an attunement, else 0</t>
  </si>
  <si>
    <t xml:space="preserve">kitOf()</t>
  </si>
  <si>
    <t xml:space="preserve">Auto-pick</t>
  </si>
  <si>
    <t xml:space="preserve">Fills open talent slots with talents your stats already reach (before or after the shrine), skipping ones that would pull in a new mantra, best value per slot first.</t>
  </si>
  <si>
    <t xml:space="preserve">value per slot = ((popularity if &gt;= 3) + synergy x 15) x (0.4 + 1.2 x slider) + damage x (0.2 + 3.6 x (1 - slider)) + 90 x kit, divided by (1 + missing prerequisites)</t>
  </si>
  <si>
    <t xml:space="preserve">autoPickList()</t>
  </si>
  <si>
    <t xml:space="preserve">Suggestions (recommendations)</t>
  </si>
  <si>
    <t xml:space="preserve">Talents that fit or are close, ranked: synergies first, then take rate given stats, plus the kit bonus. Similar reference builds decide which talents show up.</t>
  </si>
  <si>
    <t xml:space="preserve">rank = (10 + synergy weight if any synergy) + share + 0.8 x kit</t>
  </si>
  <si>
    <t xml:space="preserve">recommendations()</t>
  </si>
  <si>
    <t xml:space="preserve">Status of a talent</t>
  </si>
  <si>
    <t xml:space="preserve">In build / Avoided / Above your stat limit / Blocked by an exclusive / Needs another oath / Fits (now or before the shrine) / Close (+15 points or less) / Far.</t>
  </si>
  <si>
    <t xml:space="preserve">cost = min(cost at final stats, cost at pre-shrine stats if it can be taken pre)</t>
  </si>
  <si>
    <t xml:space="preserve">statusOf()</t>
  </si>
  <si>
    <t xml:space="preserve">Synergies</t>
  </si>
  <si>
    <t xml:space="preserve">Pairs of talents that work together, each with a weight; a synergy counts like a talent 15% of builds take per weight unit.</t>
  </si>
  <si>
    <t xml:space="preserve">synergy value = sum of weights x 15</t>
  </si>
  <si>
    <t xml:space="preserve">SYN, synOf()</t>
  </si>
  <si>
    <t xml:space="preserve">Likely talents (screenshot)</t>
  </si>
  <si>
    <t xml:space="preserve">Talents the read stats allow, ranked by take rate given stats, how often they appear with the talents you saw (reference builds), synergy and kit.</t>
  </si>
  <si>
    <t xml:space="preserve">score = 0.55 x take rate + 0.9 x co-occurrence + 0.12 x synergy + 0.35 x kit</t>
  </si>
  <si>
    <t xml:space="preserve">likelyTalents()</t>
  </si>
  <si>
    <t xml:space="preserve">Damage</t>
  </si>
  <si>
    <t xml:space="preserve">Weapon scaling</t>
  </si>
  <si>
    <t xml:space="preserve">Sum of each scaling coefficient x your final stat (Mind/Body use the highest of their stats).</t>
  </si>
  <si>
    <t xml:space="preserve">h = sum(coef_k x stat_k)</t>
  </si>
  <si>
    <t xml:space="preserve">damageOf()</t>
  </si>
  <si>
    <t xml:space="preserve">Scaled weapon damage</t>
  </si>
  <si>
    <t xml:space="preserve">Proficiency multiplies the stat part.</t>
  </si>
  <si>
    <t xml:space="preserve">scaled = base x (1 + 0.75 x h x (1 + 0.065 x Proficiency) / 1000)</t>
  </si>
  <si>
    <t xml:space="preserve">Talent damage bonus</t>
  </si>
  <si>
    <t xml:space="preserve">Sum of talent damage bonuses (+2.5% for Soulbreaker). Full to +25%, half past it, capped at +50%. Unique bonuses add outside the cap.</t>
  </si>
  <si>
    <t xml:space="preserve">m = raw &lt;= 0.25 ? raw : min(0.5, 0.25 + (raw - 0.25)/2)</t>
  </si>
  <si>
    <t xml:space="preserve">Weapon PEN + 1% per 10 Strength + talent PEN + enchant PEN + 2.5% per Proficiency, capped at 50% (100% if a talent removes the cap); some talents multiply instead.</t>
  </si>
  <si>
    <t xml:space="preserve">pen = min(cap, min(1, raw) x multiplier)</t>
  </si>
  <si>
    <t xml:space="preserve">Against 30% armor.</t>
  </si>
  <si>
    <t xml:space="preserve">hit = scaled x (1 + m + unique) x enchant hit x (1 - (1 - pen) x 0.3)</t>
  </si>
  <si>
    <t xml:space="preserve">Mantra level</t>
  </si>
  <si>
    <t xml:space="preserve">From the attunement value.</t>
  </si>
  <si>
    <t xml:space="preserve">level = clamp(1 + floor(attunement / 20), 1, 5)</t>
  </si>
  <si>
    <t xml:space="preserve">mLevel()</t>
  </si>
  <si>
    <t xml:space="preserve">Mantra hit</t>
  </si>
  <si>
    <t xml:space="preserve">Level damage, scaling from stats (Songchant multiplies it), talent bonus, and Songchant PEN against 30% armor. Combat mantras of each attunement are averaged.</t>
  </si>
  <si>
    <t xml:space="preserve">hit = lv[level] x (1 + sum(coef/10 x stat/100) x (1 + 0.065 x Songchant)) x (1 + m) x (1 - (1 - min(0.5, 0.025 x Songchant)) x 0.3)</t>
  </si>
  <si>
    <t xml:space="preserve">mantraDamage()</t>
  </si>
  <si>
    <t xml:space="preserve">Damage split</t>
  </si>
  <si>
    <t xml:space="preserve">The M1 &lt;-&gt; mantra slider weights weapon and mantra damage in the optimizer score.</t>
  </si>
  <si>
    <t xml:space="preserve">dmg% = (1 - split) x weapon% + split x mantra%</t>
  </si>
  <si>
    <t xml:space="preserve">Power 20 assumed.</t>
  </si>
  <si>
    <t xml:space="preserve">hp = 220 + 4 x 20 + 0.5 x min(FTD, 50) + 0.25 x max(FTD - 50, 0) + 10 x Vitality + gear health</t>
  </si>
  <si>
    <t xml:space="preserve">gearStats()</t>
  </si>
  <si>
    <t xml:space="preserve">Resistance and effective health</t>
  </si>
  <si>
    <t xml:space="preserve">Armor % reduced by assumed penetration (35% physical, 20% elemental), capped at 95%.</t>
  </si>
  <si>
    <t xml:space="preserve">res = min(0.95, armor/100 x (1 - pen/100)); EHP = hp / (1 - res)</t>
  </si>
  <si>
    <t xml:space="preserve">Optimize equipment</t>
  </si>
  <si>
    <t xml:space="preserve">Reach minimum health (default 500) and minimum physical armor (default 50%) first; then health x (1/(1-res))^a, where the Health&lt;-&gt;Armor slider sets a. Elemental pips are never chosen; Transfusion Ring is never picked.</t>
  </si>
  <si>
    <t xml:space="preserve">score = deficits ? -1e6 - 10 x HP short - 40 x armor short : hp x (1/(1-res))^a</t>
  </si>
  <si>
    <t xml:space="preserve">gearScore(), optimizeGear()</t>
  </si>
  <si>
    <t xml:space="preserve">Traits</t>
  </si>
  <si>
    <t xml:space="preserve">Trait pool</t>
  </si>
  <si>
    <t xml:space="preserve">12 points in total (one at most even Power levels), at most 6 per trait. They don't use stat points.</t>
  </si>
  <si>
    <t xml:space="preserve">sum(traits) &lt;= 12; each &lt;= 6</t>
  </si>
  <si>
    <t xml:space="preserve">TRAITS, tr()</t>
  </si>
  <si>
    <t xml:space="preserve">Suggested traits</t>
  </si>
  <si>
    <t xml:space="preserve">Weapon builds: Proficiency 6 + Vitality 6. Mantra builds (split &gt;= 75% or Hero's Blade): Songchant 6, Erudition 3, Vitality 3. Hybrid: 4/4/4 Vitality/Proficiency/Songchant.</t>
  </si>
  <si>
    <t xml:space="preserve">by damage split</t>
  </si>
  <si>
    <t xml:space="preserve">suggestTraits()</t>
  </si>
  <si>
    <t xml:space="preserve">Optimizer</t>
  </si>
  <si>
    <t xml:space="preserve">Score of a stat plan</t>
  </si>
  <si>
    <t xml:space="preserve">Points left count most; then damage and talent options, weighted by the damage&lt;-&gt;talent options slider. Over a stat limit or breaking the pre-shrine rule costs 20 per point.</t>
  </si>
  <si>
    <t xml:space="preserve">score = (330 - used) + 2 x (1 - slider) x dmg% + 2 x slider x talent options / 10; free = 330 - used - 20 x capOver - 20 x reup</t>
  </si>
  <si>
    <t xml:space="preserve">Search</t>
  </si>
  <si>
    <t xml:space="preserve">Hill climbing over pre-shrine stats from several starting points, keeping the best score.</t>
  </si>
  <si>
    <t xml:space="preserve">starts x iterations random moves</t>
  </si>
  <si>
    <t xml:space="preserve">searchStats(), compute()</t>
  </si>
  <si>
    <t xml:space="preserve">Fitting the budget</t>
  </si>
  <si>
    <t xml:space="preserve">1) drop talents that are blocked by limits, 2) trim to the talent cap (lowest value per slot), 3) drop the talent that frees the most points per value, repeat, 4) if required talents + floors alone are over, lower floors 5 at a time (not ones you set in Adjustments), 5) rebuild picks from most to least valuable while they fit.</t>
  </si>
  <si>
    <t xml:space="preserve">see steps</t>
  </si>
  <si>
    <t xml:space="preserve">optimizeAll(), trimToCap(), trimToBudget(), easeFloors(), rebuildToBudget()</t>
  </si>
  <si>
    <t xml:space="preserve">Damage &lt;-&gt; talent options trade</t>
  </si>
  <si>
    <t xml:space="preserve">Toward damage: weapon/attunement targets rise toward 100, paid for by the least useful non-damage talents, open slots get damage talents. Toward talent options: targets fall toward the weapon requirement / 40 and freed points go to popular and synergy talents. 35-65 keeps the build; undone if it cannot be paid for.</t>
  </si>
  <si>
    <t xml:space="preserve">targets move by (distance from middle x 2)</t>
  </si>
  <si>
    <t xml:space="preserve">sliderRebalance()</t>
  </si>
  <si>
    <t xml:space="preserve">Spending leftover points</t>
  </si>
  <si>
    <t xml:space="preserve">Each step adds the amount (1, 5, the next mantra level, or the next talent threshold) to the stat with the best gain per point; gain blends damage and talent options by the slider. Retried with fewer points if it would go over budget.</t>
  </si>
  <si>
    <t xml:space="preserve">gain = ((1 - slider) x dmg% + max(slider, 0.05) x talent options / 10) per point</t>
  </si>
  <si>
    <t xml:space="preserve">optimizeAll() spend</t>
  </si>
  <si>
    <t xml:space="preserve">AI build maker</t>
  </si>
  <si>
    <t xml:space="preserve">Attunements</t>
  </si>
  <si>
    <t xml:space="preserve">One named: 80 (mage 100). Two: 80/40, raised to 80/80 if 40+ points are left (mage or "dual": 80/80). Three or more: the first one 80 (mage 100), the rest 40.</t>
  </si>
  <si>
    <t xml:space="preserve">see rule</t>
  </si>
  <si>
    <t xml:space="preserve">aiParse(), wizardApply()</t>
  </si>
  <si>
    <t xml:space="preserve">Oath</t>
  </si>
  <si>
    <t xml:space="preserve">The oath you name is kept; otherwise the starting preset's default; with no preset, the most common oath in similar top builds that fits. Silentheart is never picked automatically for attunement or mage builds.</t>
  </si>
  <si>
    <t xml:space="preserve">Import</t>
  </si>
  <si>
    <t xml:space="preserve">deepwoken.co</t>
  </si>
  <si>
    <t xml:space="preserve">deepwoken.co blocks other sites from reading its builds. The bookmark runs on the build page, reads the build there and opens Meta Builder with it in the address (#dwco=...), which imports on load.</t>
  </si>
  <si>
    <t xml:space="preserve">n/a</t>
  </si>
  <si>
    <t xml:space="preserve">DWCO_SNIP, dwbFromCoJson()</t>
  </si>
  <si>
    <t xml:space="preserve">Talent</t>
  </si>
  <si>
    <t xml:space="preserve">Category</t>
  </si>
  <si>
    <t xml:space="preserve">Rarity</t>
  </si>
  <si>
    <t xml:space="preserve">Pickable</t>
  </si>
  <si>
    <t xml:space="preserve">Requirement</t>
  </si>
  <si>
    <t xml:space="preserve">Cheapest way to meet it (with prerequisites)</t>
  </si>
  <si>
    <t xml:space="preserve">Points needed from 0</t>
  </si>
  <si>
    <t xml:space="preserve">Can be taken before the shrine</t>
  </si>
  <si>
    <t xml:space="preserve">Popularity (% of top builds)</t>
  </si>
  <si>
    <t xml:space="preserve">Builds that can take it</t>
  </si>
  <si>
    <t xml:space="preserve">Builds that take it</t>
  </si>
  <si>
    <t xml:space="preserve">Damage bonus</t>
  </si>
  <si>
    <t xml:space="preserve">PEN bonus</t>
  </si>
  <si>
    <t xml:space="preserve">Unique bonus</t>
  </si>
  <si>
    <t xml:space="preserve">Synergies (weight)</t>
  </si>
  <si>
    <t xml:space="preserve">Exclusive with</t>
  </si>
  <si>
    <t xml:space="preserve">Description</t>
  </si>
  <si>
    <t xml:space="preserve">A World Without Song</t>
  </si>
  <si>
    <t xml:space="preserve">Silencer</t>
  </si>
  <si>
    <t xml:space="preserve">Advanced</t>
  </si>
  <si>
    <t xml:space="preserve">yes</t>
  </si>
  <si>
    <t xml:space="preserve">WND 75 · after Silencer's Blade · with prerequisites: WND 75 (Silencer's Blade)</t>
  </si>
  <si>
    <t xml:space="preserve">WND 75</t>
  </si>
  <si>
    <t xml:space="preserve">Every 3 hits with a Wind Mantra now procs Suffocating.</t>
  </si>
  <si>
    <t xml:space="preserve">Absolute Pitch</t>
  </si>
  <si>
    <t xml:space="preserve">Songmaster</t>
  </si>
  <si>
    <t xml:space="preserve">INT 100</t>
  </si>
  <si>
    <t xml:space="preserve">You can cast Ritual Mantras instantly.</t>
  </si>
  <si>
    <t xml:space="preserve">Absolute Radiance</t>
  </si>
  <si>
    <t xml:space="preserve">Dawnwalker</t>
  </si>
  <si>
    <t xml:space="preserve">no</t>
  </si>
  <si>
    <t xml:space="preserve">after Oath: Dawnwalker</t>
  </si>
  <si>
    <t xml:space="preserve">none</t>
  </si>
  <si>
    <t xml:space="preserve">Dealing damage with Dawnwalker mantras briefly makes you immune to all elemental effects for a short period.</t>
  </si>
  <si>
    <t xml:space="preserve">Acceleration Points</t>
  </si>
  <si>
    <t xml:space="preserve">Jetstriker</t>
  </si>
  <si>
    <t xml:space="preserve">after Oath: Jetstriker</t>
  </si>
  <si>
    <t xml:space="preserve">Striking an opponent in the back with mobility mantras or Basic Attacks now steals and grants additional momentum.</t>
  </si>
  <si>
    <t xml:space="preserve">Action Surge</t>
  </si>
  <si>
    <t xml:space="preserve">Vigil Swordsman</t>
  </si>
  <si>
    <t xml:space="preserve">Common</t>
  </si>
  <si>
    <t xml:space="preserve">AGL 70</t>
  </si>
  <si>
    <t xml:space="preserve">Adrenaline Surge now increases your swing speed by 0.04 for its duration.</t>
  </si>
  <si>
    <t xml:space="preserve">Adept Bloodrender</t>
  </si>
  <si>
    <t xml:space="preserve">Bloodrender</t>
  </si>
  <si>
    <t xml:space="preserve">BLD 20 · after Bloodrender · with prerequisites: BLD 20 (Bloodrender)</t>
  </si>
  <si>
    <t xml:space="preserve">BLD 20</t>
  </si>
  <si>
    <t xml:space="preserve">You can now obtain 1-star Bloodrender mantras.</t>
  </si>
  <si>
    <t xml:space="preserve">Adept Flamecharmer</t>
  </si>
  <si>
    <t xml:space="preserve">Flamecharmer</t>
  </si>
  <si>
    <t xml:space="preserve">FLM 20 · after Flamecharmer · with prerequisites: FLM 20 (Flamecharmer)</t>
  </si>
  <si>
    <t xml:space="preserve">FLM 20</t>
  </si>
  <si>
    <t xml:space="preserve">You can now obtain 1-Star Leveled Flamecharmer Mantras.</t>
  </si>
  <si>
    <t xml:space="preserve">Adept Frostdrawer</t>
  </si>
  <si>
    <t xml:space="preserve">Frostdrawer</t>
  </si>
  <si>
    <t xml:space="preserve">ICE 20 · after Frostdrawer · with prerequisites: ICE 20 (Frostdrawer)</t>
  </si>
  <si>
    <t xml:space="preserve">ICE 20</t>
  </si>
  <si>
    <t xml:space="preserve">You can now obtain 1-Star Leveled Frostdrawer Mantras.</t>
  </si>
  <si>
    <t xml:space="preserve">Adept Galebreather</t>
  </si>
  <si>
    <t xml:space="preserve">Galebreather</t>
  </si>
  <si>
    <t xml:space="preserve">WND 20 · after Galebreather · with prerequisites: WND 20 (Galebreather)</t>
  </si>
  <si>
    <t xml:space="preserve">WND 20</t>
  </si>
  <si>
    <t xml:space="preserve">You can now obtain 1-Star Leveled Galebreathe mantras.</t>
  </si>
  <si>
    <t xml:space="preserve">Adept Ironsinger</t>
  </si>
  <si>
    <t xml:space="preserve">Ironsinger</t>
  </si>
  <si>
    <t xml:space="preserve">IRN 20 · after Ironsinger · with prerequisites: IRN 20 (Ironsinger)</t>
  </si>
  <si>
    <t xml:space="preserve">IRN 20</t>
  </si>
  <si>
    <t xml:space="preserve">You can now obtain 1-star Ironsinger mantras.</t>
  </si>
  <si>
    <t xml:space="preserve">Adept Shadowcaster</t>
  </si>
  <si>
    <t xml:space="preserve">Shadowcaster</t>
  </si>
  <si>
    <t xml:space="preserve">SDW 20 · after Shadowcaster · with prerequisites: SDW 20 (Shadowcaster)</t>
  </si>
  <si>
    <t xml:space="preserve">SDW 20</t>
  </si>
  <si>
    <t xml:space="preserve">You can now obtain 1-star Leveled Shadowcaster Mantras.</t>
  </si>
  <si>
    <t xml:space="preserve">Adept Thundercaller</t>
  </si>
  <si>
    <t xml:space="preserve">Thundercaller</t>
  </si>
  <si>
    <t xml:space="preserve">LTN 20 · after Thundercaller · with prerequisites: LTN 20 (Thundercaller)</t>
  </si>
  <si>
    <t xml:space="preserve">LTN 20</t>
  </si>
  <si>
    <t xml:space="preserve">You can now obtain 1-star Thundercaller mantras.</t>
  </si>
  <si>
    <t xml:space="preserve">Aerogliding</t>
  </si>
  <si>
    <t xml:space="preserve">Aeromancer</t>
  </si>
  <si>
    <t xml:space="preserve">Rare</t>
  </si>
  <si>
    <t xml:space="preserve">WND 35 · AGL 30</t>
  </si>
  <si>
    <t xml:space="preserve">When falling from a high place, hold space to generate wind currents until you land. More airtime with Gliders.</t>
  </si>
  <si>
    <t xml:space="preserve">After Cut</t>
  </si>
  <si>
    <t xml:space="preserve">Galeforce</t>
  </si>
  <si>
    <t xml:space="preserve">WND 40</t>
  </si>
  <si>
    <t xml:space="preserve">Inhale (2)</t>
  </si>
  <si>
    <t xml:space="preserve">If an attack is physical and wind it will apply an after cut that does 5% of the damage you dealt. If an attack was a…</t>
  </si>
  <si>
    <t xml:space="preserve">Against All Odds</t>
  </si>
  <si>
    <t xml:space="preserve">Absolute Focus</t>
  </si>
  <si>
    <t xml:space="preserve">WLL 65</t>
  </si>
  <si>
    <t xml:space="preserve">For each combat tag you have on your character, increase your damage by 2% (max of 14%).</t>
  </si>
  <si>
    <t xml:space="preserve">Agility Unbounded</t>
  </si>
  <si>
    <t xml:space="preserve">Boundless Potential</t>
  </si>
  <si>
    <t xml:space="preserve">AGL 75</t>
  </si>
  <si>
    <t xml:space="preserve">You have gained the ability to surpass your limits and train your agility to its fullest.</t>
  </si>
  <si>
    <t xml:space="preserve">Agitating Spark</t>
  </si>
  <si>
    <t xml:space="preserve">Immolator</t>
  </si>
  <si>
    <t xml:space="preserve">FLM 40</t>
  </si>
  <si>
    <t xml:space="preserve">Eruption Path: Lava Serpent (2)</t>
  </si>
  <si>
    <t xml:space="preserve">Applying Burning to enemies spreads it to anyone nearby. Including yourself.</t>
  </si>
  <si>
    <t xml:space="preserve">Air Pressure</t>
  </si>
  <si>
    <t xml:space="preserve">Legion Shock Trooper</t>
  </si>
  <si>
    <t xml:space="preserve">AGL 20 · WND 50</t>
  </si>
  <si>
    <t xml:space="preserve">Dodging an attack or hitting an enemy's block will transform your next dash into a Gale Dash. Gale Dashes carry you…</t>
  </si>
  <si>
    <t xml:space="preserve">All Above, Gods Below</t>
  </si>
  <si>
    <t xml:space="preserve">Heretic</t>
  </si>
  <si>
    <t xml:space="preserve">WLL 100 · INT 100 · after All the Dead Gods · with prerequisites: WLL 100 · INT 100 (All the Dead Gods)</t>
  </si>
  <si>
    <t xml:space="preserve">WLL 100 · INT 100</t>
  </si>
  <si>
    <t xml:space="preserve">Any healing your opponent were to receive while All The Dead Gods is active on them is stolen and given to you,…</t>
  </si>
  <si>
    <t xml:space="preserve">All Knowing</t>
  </si>
  <si>
    <t xml:space="preserve">Omniscient</t>
  </si>
  <si>
    <t xml:space="preserve">INT 60 · mantra Prediction · with prerequisites: INT 60 (Prediction)</t>
  </si>
  <si>
    <t xml:space="preserve">INT 60</t>
  </si>
  <si>
    <t xml:space="preserve">Your prediction now ignores the range requirement to reflect attacks.</t>
  </si>
  <si>
    <t xml:space="preserve">All the Dead Gods</t>
  </si>
  <si>
    <t xml:space="preserve">WLL 65 · INT 40</t>
  </si>
  <si>
    <t xml:space="preserve">Your Basic Attacks now apply anti-heal and 5% Heal Boost against PvE for 8s.</t>
  </si>
  <si>
    <t xml:space="preserve">All-Seeing Eye</t>
  </si>
  <si>
    <t xml:space="preserve">Blindseer</t>
  </si>
  <si>
    <t xml:space="preserve">after Oath: Blindseer</t>
  </si>
  <si>
    <t xml:space="preserve">The mystic eye through which you now see the world can perceive the imperceptible. Invisible foes are highlighted.</t>
  </si>
  <si>
    <t xml:space="preserve">Alloyblood</t>
  </si>
  <si>
    <t xml:space="preserve">IRN 100</t>
  </si>
  <si>
    <t xml:space="preserve">Cauterized Wounds (2)</t>
  </si>
  <si>
    <t xml:space="preserve">You don't bleed like others do. Bleed damage reduced by 30%. Blood loss is reduced by 75%.</t>
  </si>
  <si>
    <t xml:space="preserve">Amplified Rage</t>
  </si>
  <si>
    <t xml:space="preserve">Jumpstarter</t>
  </si>
  <si>
    <t xml:space="preserve">LTN 35 · after Electrify · with prerequisites: LTN 35 (Electrify)</t>
  </si>
  <si>
    <t xml:space="preserve">LTN 35</t>
  </si>
  <si>
    <t xml:space="preserve">Amplified Reflexes</t>
  </si>
  <si>
    <t xml:space="preserve">Amped now grants you an additional +10% weapon damage. Also self-damage and cooldown by 3x.</t>
  </si>
  <si>
    <t xml:space="preserve">Amped now grants enhanced speed and parkour.</t>
  </si>
  <si>
    <t xml:space="preserve">An Ironsinger's Instinct</t>
  </si>
  <si>
    <t xml:space="preserve">Adaptive Arsenal</t>
  </si>
  <si>
    <t xml:space="preserve">IRN 75</t>
  </si>
  <si>
    <t xml:space="preserve">Successfully dodging an attack coats you in metal and reduces the damage of the next attack taken.</t>
  </si>
  <si>
    <t xml:space="preserve">Anchor Shock</t>
  </si>
  <si>
    <t xml:space="preserve">Blightsurger</t>
  </si>
  <si>
    <t xml:space="preserve">after Oath: Blightsurger</t>
  </si>
  <si>
    <t xml:space="preserve">Your Blightshock prevents targets from using mobility mantras.</t>
  </si>
  <si>
    <t xml:space="preserve">Ankle Cutter</t>
  </si>
  <si>
    <t xml:space="preserve">after Oath: Silentheart</t>
  </si>
  <si>
    <t xml:space="preserve">Another Man's Trash</t>
  </si>
  <si>
    <t xml:space="preserve">Thief</t>
  </si>
  <si>
    <t xml:space="preserve">CHA 35 · AGL 10 · after Cap Artist, Pickpocket · with prerequisites: CHA 35 · AGL 25 (Cap Artist, Pickpocket)</t>
  </si>
  <si>
    <t xml:space="preserve">CHA 35 · AGL 25</t>
  </si>
  <si>
    <t xml:space="preserve">Antithetic Salts</t>
  </si>
  <si>
    <t xml:space="preserve">Saltchemist</t>
  </si>
  <si>
    <t xml:space="preserve">after Oath: Saltchemist</t>
  </si>
  <si>
    <t xml:space="preserve">Alter your brews to invert their effects. Does not count towards the ingredient limit.</t>
  </si>
  <si>
    <t xml:space="preserve">Apothecary</t>
  </si>
  <si>
    <t xml:space="preserve">Alchemist</t>
  </si>
  <si>
    <t xml:space="preserve">INT 10</t>
  </si>
  <si>
    <t xml:space="preserve">Potions you prepare will have amplified positive effects when consumed, and amplified negative effects when thrown.</t>
  </si>
  <si>
    <t xml:space="preserve">Apparitions</t>
  </si>
  <si>
    <t xml:space="preserve">Specter</t>
  </si>
  <si>
    <t xml:space="preserve">WND 50 · after Haunted Path: Specter · with prerequisites: WND 50 (Haunted Path: Specter, Haunted Gale)</t>
  </si>
  <si>
    <t xml:space="preserve">WND 50</t>
  </si>
  <si>
    <t xml:space="preserve">Freezing Wight (2), Pressure Detonation (2), Haunted Gale (2), Phantom Step (2)</t>
  </si>
  <si>
    <t xml:space="preserve">Approaching Singularity</t>
  </si>
  <si>
    <t xml:space="preserve">All-Knowing</t>
  </si>
  <si>
    <t xml:space="preserve">INT 80</t>
  </si>
  <si>
    <t xml:space="preserve">You now gain +1% Mantra PEN for every 10 point of Intelligence.</t>
  </si>
  <si>
    <t xml:space="preserve">Arc Module: Dash</t>
  </si>
  <si>
    <t xml:space="preserve">Arcwarder</t>
  </si>
  <si>
    <t xml:space="preserve">after Oath: Arcwarder</t>
  </si>
  <si>
    <t xml:space="preserve">[In Arc Suit] Your dashes become Jet Dashes, allowing you to attack while dashing.</t>
  </si>
  <si>
    <t xml:space="preserve">Arc Module: Eject</t>
  </si>
  <si>
    <t xml:space="preserve">[In Arc Suit] When blockbroken, eject from your suit.</t>
  </si>
  <si>
    <t xml:space="preserve">Arc Module: Enhance</t>
  </si>
  <si>
    <t xml:space="preserve">[In Arc Suit] Your Arcwarder Mantras deal increased damage.</t>
  </si>
  <si>
    <t xml:space="preserve">Arc Module: Guard</t>
  </si>
  <si>
    <t xml:space="preserve">[In Arc Suit] You can block attacks from any direction and cannot be backstabbed.</t>
  </si>
  <si>
    <t xml:space="preserve">Arc Module: Leap</t>
  </si>
  <si>
    <t xml:space="preserve">[In Arc Suit] Holding Spacebar after double jumping propels you up for a short duration.</t>
  </si>
  <si>
    <t xml:space="preserve">Arc Module: Null</t>
  </si>
  <si>
    <t xml:space="preserve">[In Arc Suit] Outgoing and incoming enchant effects are nullified. Can be toggled with N.</t>
  </si>
  <si>
    <t xml:space="preserve">Ardour Scream</t>
  </si>
  <si>
    <t xml:space="preserve">Murmur</t>
  </si>
  <si>
    <t xml:space="preserve">(WLL 40 · STR 15 + Murmur: Ardour or Oath: Soulbreaker)</t>
  </si>
  <si>
    <t xml:space="preserve">Amplify your shout into a scream using Ardour, dominating weaker foes, Victims take 12.5% more damage and 50% more…</t>
  </si>
  <si>
    <t xml:space="preserve">Armor Conserver</t>
  </si>
  <si>
    <t xml:space="preserve">Natural Armor</t>
  </si>
  <si>
    <t xml:space="preserve">Power 8</t>
  </si>
  <si>
    <t xml:space="preserve">Exoskeleton (2)</t>
  </si>
  <si>
    <t xml:space="preserve">You lose 15% less armor when hit.</t>
  </si>
  <si>
    <t xml:space="preserve">Armor Piercing</t>
  </si>
  <si>
    <t xml:space="preserve">Gunslinger</t>
  </si>
  <si>
    <t xml:space="preserve">any weapon 30</t>
  </si>
  <si>
    <t xml:space="preserve">HVY 30</t>
  </si>
  <si>
    <t xml:space="preserve">[Guns] Your gun attacks now ignore 10% of an opponent's blunt armor. Applied multiplicatively before PEN is applied.</t>
  </si>
  <si>
    <t xml:space="preserve">Aromatic Salts</t>
  </si>
  <si>
    <t xml:space="preserve">Alter your brews to create lingering clouds of mist on shattering. Does not count towards the ingredient limit.</t>
  </si>
  <si>
    <t xml:space="preserve">Artisan Chef</t>
  </si>
  <si>
    <t xml:space="preserve">Tavernkeep</t>
  </si>
  <si>
    <t xml:space="preserve">INT 25 · CHA 15</t>
  </si>
  <si>
    <t xml:space="preserve">The food you cook now becomes Artisan food, increasing its hunger and thirst gained by +25%.</t>
  </si>
  <si>
    <t xml:space="preserve">Artisan's Blade</t>
  </si>
  <si>
    <t xml:space="preserve">Scrapsinger</t>
  </si>
  <si>
    <t xml:space="preserve">IRN 45 · after Gilded Path: Scrapsinger · with prerequisites: IRN 45 (Gilded Path: Scrapsinger)</t>
  </si>
  <si>
    <t xml:space="preserve">IRN 45</t>
  </si>
  <si>
    <t xml:space="preserve">Activating Scrapsinger forges a metal blade behind you for every 2 rods you consume. Metal blades will fire at a…</t>
  </si>
  <si>
    <t xml:space="preserve">Ash Ember</t>
  </si>
  <si>
    <t xml:space="preserve">Withered Flame</t>
  </si>
  <si>
    <t xml:space="preserve">any weapon 90 · FLM 90</t>
  </si>
  <si>
    <t xml:space="preserve">HVY 90 · FLM 90</t>
  </si>
  <si>
    <t xml:space="preserve">The more wither your opponent has, the more damage your burn deals.</t>
  </si>
  <si>
    <t xml:space="preserve">Audacity</t>
  </si>
  <si>
    <t xml:space="preserve">Tyrant</t>
  </si>
  <si>
    <t xml:space="preserve">CHA 100 · STR 50</t>
  </si>
  <si>
    <t xml:space="preserve">Once you've brought down your prey, instill fear into all those who would separate you from claiming it. Charmed or…</t>
  </si>
  <si>
    <t xml:space="preserve">Authority Intimidation</t>
  </si>
  <si>
    <t xml:space="preserve">Authority Interrogator</t>
  </si>
  <si>
    <t xml:space="preserve">Power 10 · LTN 60</t>
  </si>
  <si>
    <t xml:space="preserve">LTN 60</t>
  </si>
  <si>
    <t xml:space="preserve">Lightning moves slow your opponent more.</t>
  </si>
  <si>
    <t xml:space="preserve">Azure Flames</t>
  </si>
  <si>
    <t xml:space="preserve">FLM 70 · WLL 40</t>
  </si>
  <si>
    <t xml:space="preserve">Wraith Path: Twisted Puppets</t>
  </si>
  <si>
    <t xml:space="preserve">Many of your flames turn blue, signifying their increased intensity.</t>
  </si>
  <si>
    <t xml:space="preserve">Barber's Skillset</t>
  </si>
  <si>
    <t xml:space="preserve">Fadetrimmer</t>
  </si>
  <si>
    <t xml:space="preserve">after Oath: Fadetrimmer</t>
  </si>
  <si>
    <t xml:space="preserve">What type of look are we going for today?</t>
  </si>
  <si>
    <t xml:space="preserve">Battery Sapper</t>
  </si>
  <si>
    <t xml:space="preserve">Unstable Capacitor</t>
  </si>
  <si>
    <t xml:space="preserve">LTN 60 · SDW 25 · after Surge Path: Unstable Capacitor · with prerequisites: LTN 60 · SDW 25 (Surge Path: Unstable Capacitor)</t>
  </si>
  <si>
    <t xml:space="preserve">LTN 60 · SDW 25</t>
  </si>
  <si>
    <t xml:space="preserve">Human Battery (2)</t>
  </si>
  <si>
    <t xml:space="preserve">If your Human Battery targets have Ether, it will drain their Ether to help pay for your Mantras.</t>
  </si>
  <si>
    <t xml:space="preserve">Battle Tendency</t>
  </si>
  <si>
    <t xml:space="preserve">Bastion</t>
  </si>
  <si>
    <t xml:space="preserve">FTD 15 · WLL 15</t>
  </si>
  <si>
    <t xml:space="preserve">You can breathe more easily with +20% faster posture regen.</t>
  </si>
  <si>
    <t xml:space="preserve">Bear Trap</t>
  </si>
  <si>
    <t xml:space="preserve">STR 20 · AGL 20</t>
  </si>
  <si>
    <t xml:space="preserve">Grounding Bolt (2)</t>
  </si>
  <si>
    <t xml:space="preserve">Landing a hit with your critical against an opponent makes your opponent unable to jump for a duration. Also slows…</t>
  </si>
  <si>
    <t xml:space="preserve">Behind You</t>
  </si>
  <si>
    <t xml:space="preserve">Ether Endeavours</t>
  </si>
  <si>
    <t xml:space="preserve">INT 70 · AGL 40 · after Keen Recovery · with prerequisites: INT 70 · AGL 40 (Keen Recovery)</t>
  </si>
  <si>
    <t xml:space="preserve">INT 70 · AGL 40</t>
  </si>
  <si>
    <t xml:space="preserve">Landing a basic attack behind your enemy after feinting a mantra will apply an ether slash, dealing extra damage based…</t>
  </si>
  <si>
    <t xml:space="preserve">Beiruul's Vengeance</t>
  </si>
  <si>
    <t xml:space="preserve">Quest</t>
  </si>
  <si>
    <t xml:space="preserve">no stat requirement</t>
  </si>
  <si>
    <t xml:space="preserve">Berserk</t>
  </si>
  <si>
    <t xml:space="preserve">Berserker</t>
  </si>
  <si>
    <t xml:space="preserve">STR 80</t>
  </si>
  <si>
    <t xml:space="preserve">Million Ton Piercer (2)</t>
  </si>
  <si>
    <t xml:space="preserve">One with nothing to lose has everything to gain. Succumb to burning rage within and enter Berserk State.</t>
  </si>
  <si>
    <t xml:space="preserve">Biotic Salts</t>
  </si>
  <si>
    <t xml:space="preserve">Alter your brews to not provide their positive effects to your enemies. Does not count towards the ingredient limit.</t>
  </si>
  <si>
    <t xml:space="preserve">Blackhole</t>
  </si>
  <si>
    <t xml:space="preserve">Death Speaker</t>
  </si>
  <si>
    <t xml:space="preserve">Power 13 · SDW 60 · after Singularity · with prerequisites: SDW 60 (Singularity)</t>
  </si>
  <si>
    <t xml:space="preserve">SDW 60</t>
  </si>
  <si>
    <t xml:space="preserve">Your singularity pulls everyone nearby in.</t>
  </si>
  <si>
    <t xml:space="preserve">Blade Dancer</t>
  </si>
  <si>
    <t xml:space="preserve">AGL 25</t>
  </si>
  <si>
    <t xml:space="preserve">Landing a Basic Attack removes your roll cooldown.</t>
  </si>
  <si>
    <t xml:space="preserve">Blade's Edge</t>
  </si>
  <si>
    <t xml:space="preserve">Lancer</t>
  </si>
  <si>
    <t xml:space="preserve">MED 30</t>
  </si>
  <si>
    <t xml:space="preserve">[Spears] Damage dealt with the tip of the spear is increased by 10%.</t>
  </si>
  <si>
    <t xml:space="preserve">Blight Pierce</t>
  </si>
  <si>
    <t xml:space="preserve">Your Blightshock attacks pierce through your enemies hyperarmor and gain more penetration.</t>
  </si>
  <si>
    <t xml:space="preserve">Blighted Song</t>
  </si>
  <si>
    <t xml:space="preserve">Darksiphon</t>
  </si>
  <si>
    <t xml:space="preserve">FTD 10 · SDW 1 · mantra Shadow Chains · with prerequisites: FTD 10 · SDW 20 (Shadow Chains)</t>
  </si>
  <si>
    <t xml:space="preserve">FTD 10 · SDW 20</t>
  </si>
  <si>
    <t xml:space="preserve">Attaching your Shadow Chains to enemies disables yours and the enemy's ability to cast mantras. You take reduced…</t>
  </si>
  <si>
    <t xml:space="preserve">Blighted Touch</t>
  </si>
  <si>
    <t xml:space="preserve">Landing Basic Attacks during Sovereign State now applies Blightshock.</t>
  </si>
  <si>
    <t xml:space="preserve">Blightlash</t>
  </si>
  <si>
    <t xml:space="preserve">Your swing range is enhanced during Sovereign State.</t>
  </si>
  <si>
    <t xml:space="preserve">Blood Bag</t>
  </si>
  <si>
    <t xml:space="preserve">Quark Doctor</t>
  </si>
  <si>
    <t xml:space="preserve">You receive extra blood from knocking an enemy.</t>
  </si>
  <si>
    <t xml:space="preserve">Blood Bank</t>
  </si>
  <si>
    <t xml:space="preserve">Scarlet Donor</t>
  </si>
  <si>
    <t xml:space="preserve">BLD 80 · CHA 40 · after Manipulator · with prerequisites: BLD 80 · CHA 60 (Manipulator, Charismatic Cast)</t>
  </si>
  <si>
    <t xml:space="preserve">BLD 80 · CHA 60</t>
  </si>
  <si>
    <t xml:space="preserve">Donation Drive (2)</t>
  </si>
  <si>
    <t xml:space="preserve">Consuming 'Charm' now gives slight temporary health.</t>
  </si>
  <si>
    <t xml:space="preserve">Blood Thirsty</t>
  </si>
  <si>
    <t xml:space="preserve">Cutthroat</t>
  </si>
  <si>
    <t xml:space="preserve">AGL 45</t>
  </si>
  <si>
    <t xml:space="preserve">Speed Emission (1.6680000000000001), Precise Swing (0.828), Matador (0.8039999999999999)</t>
  </si>
  <si>
    <t xml:space="preserve">Gain a speed boost after causing an opponent heavy blood loss.</t>
  </si>
  <si>
    <t xml:space="preserve">Blood Transfusion</t>
  </si>
  <si>
    <t xml:space="preserve">BLD 60</t>
  </si>
  <si>
    <t xml:space="preserve">Successfully landing a critical attack while under a negative status effect will transfer the effect plus recover a…</t>
  </si>
  <si>
    <t xml:space="preserve">Blood and Iron</t>
  </si>
  <si>
    <t xml:space="preserve">Bloodsong</t>
  </si>
  <si>
    <t xml:space="preserve">BLD 40 · IRN 40</t>
  </si>
  <si>
    <t xml:space="preserve">Pulling rods out of your opponent now replenishes an equivalent amount of blood.</t>
  </si>
  <si>
    <t xml:space="preserve">Bloodiron Spirit</t>
  </si>
  <si>
    <t xml:space="preserve">Soul Converter</t>
  </si>
  <si>
    <t xml:space="preserve">You regain some Armor upon killing enemies.</t>
  </si>
  <si>
    <t xml:space="preserve">Bloodrend Unbounded</t>
  </si>
  <si>
    <t xml:space="preserve">BLD 75 · after Master Bloodrender · with prerequisites: BLD 75 (Master Bloodrender, Expert Bloodrender, Adept Bloodrender, Bloodrender)</t>
  </si>
  <si>
    <t xml:space="preserve">BLD 75</t>
  </si>
  <si>
    <t xml:space="preserve">You have gained the ability to surpass your limits and train your Bloodrend to its fullest.</t>
  </si>
  <si>
    <t xml:space="preserve">BLD 1</t>
  </si>
  <si>
    <t xml:space="preserve">Grants you the ability to command Blood as a Bloodrender. Your Bloodrend mantras replenish your blood, steal blood and…</t>
  </si>
  <si>
    <t xml:space="preserve">Bloodwarden's Sense</t>
  </si>
  <si>
    <t xml:space="preserve">Bloodhound</t>
  </si>
  <si>
    <t xml:space="preserve">BLD 30</t>
  </si>
  <si>
    <t xml:space="preserve">Enemies you attack with a mantra above 60% Blood Poisoning are marked with Bloodwarden's Mark for 5s.</t>
  </si>
  <si>
    <t xml:space="preserve">Blossoming Darkness</t>
  </si>
  <si>
    <t xml:space="preserve">SDW 40 · mantra Shadow Roar · with prerequisites: SDW 40 (Shadow Roar)</t>
  </si>
  <si>
    <t xml:space="preserve">SDW 40</t>
  </si>
  <si>
    <t xml:space="preserve">The more Ether you drain during Shadow Roar, the bigger it gets.</t>
  </si>
  <si>
    <t xml:space="preserve">Bodkin Arrow</t>
  </si>
  <si>
    <t xml:space="preserve">Greatarcher</t>
  </si>
  <si>
    <t xml:space="preserve">STR 55</t>
  </si>
  <si>
    <t xml:space="preserve">Your charged shots now do extra armor damage to armored enemies and extra damage to unarmored enemies.</t>
  </si>
  <si>
    <t xml:space="preserve">Boiling Point</t>
  </si>
  <si>
    <t xml:space="preserve">Vaporborne</t>
  </si>
  <si>
    <t xml:space="preserve">after Flashboil · no stats of its own, but its prerequisites need FLM 30 · ICE 30 (Flashboil)</t>
  </si>
  <si>
    <t xml:space="preserve">FLM 30 · ICE 30</t>
  </si>
  <si>
    <t xml:space="preserve">Using a fire mantra near your own steam cloud detonates it.</t>
  </si>
  <si>
    <t xml:space="preserve">Both Ends</t>
  </si>
  <si>
    <t xml:space="preserve">Vanguard Arts</t>
  </si>
  <si>
    <t xml:space="preserve">Counter Spin (2)</t>
  </si>
  <si>
    <t xml:space="preserve">Bottom Freeze</t>
  </si>
  <si>
    <t xml:space="preserve">Ice Age</t>
  </si>
  <si>
    <t xml:space="preserve">ICE 25 · mantra Ice Daggers · with prerequisites: ICE 25 (Ice Daggers)</t>
  </si>
  <si>
    <t xml:space="preserve">ICE 25</t>
  </si>
  <si>
    <t xml:space="preserve">Frozen Web (2), Frozen Anchor (2), Frozen Legs (0.948), Fragile Freeze (0.864)</t>
  </si>
  <si>
    <t xml:space="preserve">Hitting chilled enemies with Ice Projectiles while they are on ice freezes them to the ground.</t>
  </si>
  <si>
    <t xml:space="preserve">Braced Collapse</t>
  </si>
  <si>
    <t xml:space="preserve">FTD 25</t>
  </si>
  <si>
    <t xml:space="preserve">After being block broken, the next attack to hit you deals reduced damage.</t>
  </si>
  <si>
    <t xml:space="preserve">Brain Death</t>
  </si>
  <si>
    <t xml:space="preserve">BLD 40 · WND 40</t>
  </si>
  <si>
    <t xml:space="preserve">Enemies that are already suffocated will have their suffocation duration extended when hit by a bloodrend mantra.</t>
  </si>
  <si>
    <t xml:space="preserve">Brain Rattler</t>
  </si>
  <si>
    <t xml:space="preserve">Hammer Rage</t>
  </si>
  <si>
    <t xml:space="preserve">MED 50</t>
  </si>
  <si>
    <t xml:space="preserve">[Clubs] Guardbreaking an opponent with your Critical rattles their brain in its container, causing increased blood…</t>
  </si>
  <si>
    <t xml:space="preserve">Brassneck</t>
  </si>
  <si>
    <t xml:space="preserve">Miscellaneous</t>
  </si>
  <si>
    <t xml:space="preserve">STR 30 · FTD 35</t>
  </si>
  <si>
    <t xml:space="preserve">Lose Your Mind (1.2359999999999998), Mythic Stability (1.344), Impervious Slumber (0.8999999999999999)</t>
  </si>
  <si>
    <t xml:space="preserve">Knocking an enemy grants you 20% damage resistance for 15 seconds.</t>
  </si>
  <si>
    <t xml:space="preserve">Brazen Blow</t>
  </si>
  <si>
    <t xml:space="preserve">Bruiser</t>
  </si>
  <si>
    <t xml:space="preserve">Knight's Rally (1.008), Turtle Shell (1.02), Grasp on Reality (0.996)</t>
  </si>
  <si>
    <t xml:space="preserve">[Greataxes] Attacking an enemy slowed by your Greataxe grants you temporary hyperarmor.</t>
  </si>
  <si>
    <t xml:space="preserve">Breathing Exercise</t>
  </si>
  <si>
    <t xml:space="preserve">Mental Fortress</t>
  </si>
  <si>
    <t xml:space="preserve">WLL 5</t>
  </si>
  <si>
    <t xml:space="preserve">Your sanity recovers more quickly once out of terrifying situations.</t>
  </si>
  <si>
    <t xml:space="preserve">Breathing Impact</t>
  </si>
  <si>
    <t xml:space="preserve">WND 30</t>
  </si>
  <si>
    <t xml:space="preserve">Knocking enemies into objects with wind spells deals additional blunt damage based on how hard they're hit.</t>
  </si>
  <si>
    <t xml:space="preserve">Brick Wall</t>
  </si>
  <si>
    <t xml:space="preserve">Human Architecture</t>
  </si>
  <si>
    <t xml:space="preserve">WLL 100 · FTD 100 · after Perseverance · with prerequisites: WLL 100 · FTD 100 (Perseverance)</t>
  </si>
  <si>
    <t xml:space="preserve">WLL 100 · FTD 100</t>
  </si>
  <si>
    <t xml:space="preserve">You refuse. You cannot be knocked off your feet until you are knocked completely Unconscious. Also reduces the…</t>
  </si>
  <si>
    <t xml:space="preserve">Broken Ankles</t>
  </si>
  <si>
    <t xml:space="preserve">Raging Bull</t>
  </si>
  <si>
    <t xml:space="preserve">STR 70</t>
  </si>
  <si>
    <t xml:space="preserve">Blockbreaking an opponent puts their Mobility slot Mantras on CD for 12s.</t>
  </si>
  <si>
    <t xml:space="preserve">Bruiser's Mixup</t>
  </si>
  <si>
    <t xml:space="preserve">Brawler</t>
  </si>
  <si>
    <t xml:space="preserve">Switching your Fist Style mid-fight makes your basic Fist attacks inflict bleed temporarily.</t>
  </si>
  <si>
    <t xml:space="preserve">Brutal Momentum</t>
  </si>
  <si>
    <t xml:space="preserve">Weapon Master</t>
  </si>
  <si>
    <t xml:space="preserve">HVY 50</t>
  </si>
  <si>
    <t xml:space="preserve">[Heavy Weapons] Successfully dodging will give you hyperarmour on your next swing.</t>
  </si>
  <si>
    <t xml:space="preserve">Bulldozer</t>
  </si>
  <si>
    <t xml:space="preserve">STR 25</t>
  </si>
  <si>
    <t xml:space="preserve">Dazing Finisher</t>
  </si>
  <si>
    <t xml:space="preserve">Enemies you flourish into a wall have a chance of breaking the wall and are guard broken on impact.</t>
  </si>
  <si>
    <t xml:space="preserve">Bulletproof</t>
  </si>
  <si>
    <t xml:space="preserve">(FTD 20 or any weapon 20)</t>
  </si>
  <si>
    <t xml:space="preserve">FTD 20</t>
  </si>
  <si>
    <t xml:space="preserve">Burning Puppets</t>
  </si>
  <si>
    <t xml:space="preserve">Twisted Puppets</t>
  </si>
  <si>
    <t xml:space="preserve">FLM 40 · SDW 40 · after Wraith Path: Twisted Puppets · with prerequisites: FLM 40 · SDW 40 (Wraith Path: Twisted Puppets)</t>
  </si>
  <si>
    <t xml:space="preserve">FLM 40 · SDW 40</t>
  </si>
  <si>
    <t xml:space="preserve">Your puppets can now inflict burn and fire-based Talents when they explode.</t>
  </si>
  <si>
    <t xml:space="preserve">Burning Sacrifice</t>
  </si>
  <si>
    <t xml:space="preserve">FLM 40 · SDW 40 · after Wraith Path: Twisted Puppets, Emperor Flame · with prerequisites: FLM 60 · SDW 40 (Wraith Path: Twisted Puppets, Emperor Flame, Agitating Spark)</t>
  </si>
  <si>
    <t xml:space="preserve">FLM 60 · SDW 40</t>
  </si>
  <si>
    <t xml:space="preserve">Sacrifice puppets who have been alive for half of their lifetime and burn purple for Emperor Flame Stacks, a damage…</t>
  </si>
  <si>
    <t xml:space="preserve">Callout</t>
  </si>
  <si>
    <t xml:space="preserve">Leader</t>
  </si>
  <si>
    <t xml:space="preserve">CHA 20</t>
  </si>
  <si>
    <t xml:space="preserve">Spotter (2)</t>
  </si>
  <si>
    <t xml:space="preserve">You can mark objects or enemies by pressing Z, which will mark them for all nearby allies.</t>
  </si>
  <si>
    <t xml:space="preserve">Cap Artist</t>
  </si>
  <si>
    <t xml:space="preserve">AGL 25 · CHA 5</t>
  </si>
  <si>
    <t xml:space="preserve">Kickstart (2)</t>
  </si>
  <si>
    <t xml:space="preserve">Pressing CapArtist while crouching allows you to fake being dead. You also take a bit less damage from PvE while ragdolled as well.</t>
  </si>
  <si>
    <t xml:space="preserve">Captain Etrea</t>
  </si>
  <si>
    <t xml:space="preserve">Navaen Nomad</t>
  </si>
  <si>
    <t xml:space="preserve">STR 30 · FTD 20 · after Moving Fortress · with prerequisites: STR 30 · FTD 20 (Moving Fortress)</t>
  </si>
  <si>
    <t xml:space="preserve">STR 30 · FTD 20</t>
  </si>
  <si>
    <t xml:space="preserve">[Fists] Moving while blocking with a shield no longer slows you down.</t>
  </si>
  <si>
    <t xml:space="preserve">Careful Handling</t>
  </si>
  <si>
    <t xml:space="preserve">Reduce your chances of dropping ingredients on death.</t>
  </si>
  <si>
    <t xml:space="preserve">Carnivore</t>
  </si>
  <si>
    <t xml:space="preserve">Apex Predator</t>
  </si>
  <si>
    <t xml:space="preserve">STR 5 · WLL 5</t>
  </si>
  <si>
    <t xml:space="preserve">Flaw: Vegetarian</t>
  </si>
  <si>
    <t xml:space="preserve">In return for losing the ability to eat vegetation, satiate your hunger by killing others.</t>
  </si>
  <si>
    <t xml:space="preserve">Catalytic Strike</t>
  </si>
  <si>
    <t xml:space="preserve">LTN 50 · after Surge Path: Unstable Capacitor · with prerequisites: LTN 50 (Surge Path: Unstable Capacitor)</t>
  </si>
  <si>
    <t xml:space="preserve">LTN 50</t>
  </si>
  <si>
    <t xml:space="preserve">Posture breaking an enemy will Overload their Surge stack.</t>
  </si>
  <si>
    <t xml:space="preserve">Cauterized Wounds</t>
  </si>
  <si>
    <t xml:space="preserve">Flame Warden</t>
  </si>
  <si>
    <t xml:space="preserve">FLM 40 · FTD 5</t>
  </si>
  <si>
    <t xml:space="preserve">Alloyblood (2)</t>
  </si>
  <si>
    <t xml:space="preserve">Blood loss from all sources is lowered.</t>
  </si>
  <si>
    <t xml:space="preserve">Celebrity</t>
  </si>
  <si>
    <t xml:space="preserve">Public Figure</t>
  </si>
  <si>
    <t xml:space="preserve">CHA 40</t>
  </si>
  <si>
    <t xml:space="preserve">Your base reputation with factions is higher and your reputation caps out higher. Reduces the penalty for committing…</t>
  </si>
  <si>
    <t xml:space="preserve">Chain Reaction</t>
  </si>
  <si>
    <t xml:space="preserve">When applying a potion effect to someone who already has one, the new effect is amplified. You have a 25% chance not…</t>
  </si>
  <si>
    <t xml:space="preserve">Chain of Perfection</t>
  </si>
  <si>
    <t xml:space="preserve">Metamancer</t>
  </si>
  <si>
    <t xml:space="preserve">Power 1</t>
  </si>
  <si>
    <t xml:space="preserve">You gain stacks of Perfection on hitting mobs with Weapon Attacks or Mantras. Mantras are only worth half a stack.</t>
  </si>
  <si>
    <t xml:space="preserve">Chainlash</t>
  </si>
  <si>
    <t xml:space="preserve">Chainwarden</t>
  </si>
  <si>
    <t xml:space="preserve">after Oath: Chainwarden</t>
  </si>
  <si>
    <t xml:space="preserve">On flourish, gain the ability to summon a chain on an enemy for 5 seconds by right clicking. This lets you whip your…</t>
  </si>
  <si>
    <t xml:space="preserve">Champion's Regalia</t>
  </si>
  <si>
    <t xml:space="preserve">Champion</t>
  </si>
  <si>
    <t xml:space="preserve">Flourishing an opponent grants you +50% posture damage on Basic Attacks for 10 seconds.</t>
  </si>
  <si>
    <t xml:space="preserve">Chaotic Charm</t>
  </si>
  <si>
    <t xml:space="preserve">Charm Caster</t>
  </si>
  <si>
    <t xml:space="preserve">CHA 55 · after Charismatic Cast · with prerequisites: CHA 55 (Charismatic Cast)</t>
  </si>
  <si>
    <t xml:space="preserve">CHA 55</t>
  </si>
  <si>
    <t xml:space="preserve">Charm enemies nearby when attacked at low health. Enemies affected by this charm have their damage increased to anyone…</t>
  </si>
  <si>
    <t xml:space="preserve">Charged Return</t>
  </si>
  <si>
    <t xml:space="preserve">Elemental Rebound</t>
  </si>
  <si>
    <t xml:space="preserve">WLL 20 · STR 15</t>
  </si>
  <si>
    <t xml:space="preserve">Being under an elemental status effect causes your Basic Attacks and Criticals to do 10% more damage.</t>
  </si>
  <si>
    <t xml:space="preserve">Charisma Unbounded</t>
  </si>
  <si>
    <t xml:space="preserve">CHA 75</t>
  </si>
  <si>
    <t xml:space="preserve">You have gained the ability to surpass your limits and train your charisma to its fullest.</t>
  </si>
  <si>
    <t xml:space="preserve">Charismatic Cast</t>
  </si>
  <si>
    <t xml:space="preserve">CHA 25</t>
  </si>
  <si>
    <t xml:space="preserve">Landing a hit with a mantra on an enemy applies Charmed. Allies recover from being knocked twice as quickly when…</t>
  </si>
  <si>
    <t xml:space="preserve">Cheap Shot</t>
  </si>
  <si>
    <t xml:space="preserve">Trickster</t>
  </si>
  <si>
    <t xml:space="preserve">AGL 65</t>
  </si>
  <si>
    <t xml:space="preserve">Your attacks gain 10% PEN multiplicatively when you have an active speed boost.</t>
  </si>
  <si>
    <t xml:space="preserve">Cheap Trick</t>
  </si>
  <si>
    <t xml:space="preserve">Visionshaper</t>
  </si>
  <si>
    <t xml:space="preserve">after Oath: Visionshaper</t>
  </si>
  <si>
    <t xml:space="preserve">When hit below half health briefly disappear, leaving behind an illusion clone to keep your enemy occupied for a short…</t>
  </si>
  <si>
    <t xml:space="preserve">Chemistry Kit</t>
  </si>
  <si>
    <t xml:space="preserve">INT 25</t>
  </si>
  <si>
    <t xml:space="preserve">Chilling Flourish</t>
  </si>
  <si>
    <t xml:space="preserve">Cryomancer</t>
  </si>
  <si>
    <t xml:space="preserve">ICE 30</t>
  </si>
  <si>
    <t xml:space="preserve">When flourishing an enemy, they leave behind a trail of ice in the direction you send them.</t>
  </si>
  <si>
    <t xml:space="preserve">Chorus of Souls</t>
  </si>
  <si>
    <t xml:space="preserve">Sage of Wisps</t>
  </si>
  <si>
    <t xml:space="preserve">BLD 30 · SDW 30 · IRN 30 · WND 30 · LTN 30 · FLM 30 · ICE 30 · after Oath: Oathless</t>
  </si>
  <si>
    <t xml:space="preserve">BLD 30 · SDW 30 · IRN 30 · WND 30 · LTN 30 · FLM 30 · ICE 30</t>
  </si>
  <si>
    <t xml:space="preserve">Alone, the Wisps lack a voice. But surrounded by so many, the frequencies overlap and you hear it true.</t>
  </si>
  <si>
    <t xml:space="preserve">Chronostasis</t>
  </si>
  <si>
    <t xml:space="preserve">Warrior</t>
  </si>
  <si>
    <t xml:space="preserve">Power 13</t>
  </si>
  <si>
    <t xml:space="preserve">Landing a Basic Attack or Critical puts the target's Resonance on cooldown for a short duration, while also applying…</t>
  </si>
  <si>
    <t xml:space="preserve">Closed Circuit</t>
  </si>
  <si>
    <t xml:space="preserve">Surge Overloads that fail to arc to other opponents will deal additional damage to the Overloaded enemy.</t>
  </si>
  <si>
    <t xml:space="preserve">Cold Blooded</t>
  </si>
  <si>
    <t xml:space="preserve">BLD 40 · ICE 40</t>
  </si>
  <si>
    <t xml:space="preserve">Chilled enemies passively build up blood poison, alternatively when crystals explode it'll apply blood poison.</t>
  </si>
  <si>
    <t xml:space="preserve">Cold Front</t>
  </si>
  <si>
    <t xml:space="preserve">Your vent is imbued with glacial frost.</t>
  </si>
  <si>
    <t xml:space="preserve">Collapsed Lung</t>
  </si>
  <si>
    <t xml:space="preserve">Annihilator</t>
  </si>
  <si>
    <t xml:space="preserve">STR 100</t>
  </si>
  <si>
    <t xml:space="preserve">Block breaking an opponent closes off their ability to Vent for 8s, with this duration scaling with Strength. PvE…</t>
  </si>
  <si>
    <t xml:space="preserve">Comeback Kid</t>
  </si>
  <si>
    <t xml:space="preserve">Limitbreaker</t>
  </si>
  <si>
    <t xml:space="preserve">When waking up from being knocked you are unable to be knocked down for 5 seconds. (120 second cooldown)</t>
  </si>
  <si>
    <t xml:space="preserve">Command: Live</t>
  </si>
  <si>
    <t xml:space="preserve">Vow of Mastery</t>
  </si>
  <si>
    <t xml:space="preserve">CHA 75 · after Vow of Mastery · with prerequisites: CHA 75 (Vow of Mastery)</t>
  </si>
  <si>
    <t xml:space="preserve">Once per hour, command a servant to defy all odds and obey your command - live.</t>
  </si>
  <si>
    <t xml:space="preserve">Command: Summon</t>
  </si>
  <si>
    <t xml:space="preserve">CHA 80 · after Vow of Mastery · with prerequisites: CHA 80 (Vow of Mastery)</t>
  </si>
  <si>
    <t xml:space="preserve">CHA 80</t>
  </si>
  <si>
    <t xml:space="preserve">Command your servant to obey your summons and appear before you no matter the distance.</t>
  </si>
  <si>
    <t xml:space="preserve">Concussion</t>
  </si>
  <si>
    <t xml:space="preserve">Duelist</t>
  </si>
  <si>
    <t xml:space="preserve">STR 20 · FTD 15</t>
  </si>
  <si>
    <t xml:space="preserve">Speed Emission (0.9239999999999999), Impervious Slumber (0.864)</t>
  </si>
  <si>
    <t xml:space="preserve">Enemies you flourish into walls have their vision altered for a short duration and are dazed longer than usual.…</t>
  </si>
  <si>
    <t xml:space="preserve">Concussive Flash</t>
  </si>
  <si>
    <t xml:space="preserve">Duelist Flame</t>
  </si>
  <si>
    <t xml:space="preserve">FLM 30 · STR 25 · mantra Flame Blind · with prerequisites: FLM 30 · STR 25 (Flame Blind)</t>
  </si>
  <si>
    <t xml:space="preserve">FLM 30 · STR 25</t>
  </si>
  <si>
    <t xml:space="preserve">Your blinding light now concusses foes.</t>
  </si>
  <si>
    <t xml:space="preserve">Concussive Force</t>
  </si>
  <si>
    <t xml:space="preserve">STR 15</t>
  </si>
  <si>
    <t xml:space="preserve">Grasp on Reality (1.428), Lose Your Mind (1.2599999999999998), Matador (0.9119999999999999)</t>
  </si>
  <si>
    <t xml:space="preserve">Enemies you knocked remain downed longer than usual.</t>
  </si>
  <si>
    <t xml:space="preserve">Condensation Drip</t>
  </si>
  <si>
    <t xml:space="preserve">ICE 15 · INT 20</t>
  </si>
  <si>
    <t xml:space="preserve">Passively collect condensation from the air, greatly reducing your thirst.</t>
  </si>
  <si>
    <t xml:space="preserve">Conditioned Runner</t>
  </si>
  <si>
    <t xml:space="preserve">Alley Cat</t>
  </si>
  <si>
    <t xml:space="preserve">AGL 25 · after Endurance Runner, Scaredy Cat · with prerequisites: AGL 25 · FTD 25 (Endurance Runner, Scaredy Cat)</t>
  </si>
  <si>
    <t xml:space="preserve">AGL 25 · FTD 25</t>
  </si>
  <si>
    <t xml:space="preserve">You take 5-15% less damage. The damage reduction amount scales with your agility stat and how long you have been…</t>
  </si>
  <si>
    <t xml:space="preserve">Conditioned Swimmer</t>
  </si>
  <si>
    <t xml:space="preserve">Waterbone</t>
  </si>
  <si>
    <t xml:space="preserve">You lose less hunger and thirst while swimming.</t>
  </si>
  <si>
    <t xml:space="preserve">Conductor's Cable</t>
  </si>
  <si>
    <t xml:space="preserve">Rending Needle</t>
  </si>
  <si>
    <t xml:space="preserve">IRN 75 · after Rending Needle: Conductor · with prerequisites: IRN 75 (Rending Needle: Conductor, Master Ironsinger, Expert Ironsinger, Adept Ironsinger, Ironsinger)</t>
  </si>
  <si>
    <t xml:space="preserve">Applying Conductor rods on opponents steals some of their armor to you.</t>
  </si>
  <si>
    <t xml:space="preserve">Conquer your Fears</t>
  </si>
  <si>
    <t xml:space="preserve">WLL 10 · after Breathing Exercise · with prerequisites: WLL 10 (Breathing Exercise)</t>
  </si>
  <si>
    <t xml:space="preserve">WLL 10</t>
  </si>
  <si>
    <t xml:space="preserve">Killing the beings of the deep replenishes your sanity somewhat. When an Ally grips an enemy nearby to you, you regain Sanity.</t>
  </si>
  <si>
    <t xml:space="preserve">Controlled Combustion</t>
  </si>
  <si>
    <t xml:space="preserve">Tamed Flame</t>
  </si>
  <si>
    <t xml:space="preserve">CHA 40 · after Agitating Spark · with prerequisites: CHA 40 · FLM 40 (Agitating Spark)</t>
  </si>
  <si>
    <t xml:space="preserve">CHA 40 · FLM 40</t>
  </si>
  <si>
    <t xml:space="preserve">Your Agitating Spark no longer spreads to your allies.</t>
  </si>
  <si>
    <t xml:space="preserve">Cook's Kit</t>
  </si>
  <si>
    <t xml:space="preserve">Survival Kit</t>
  </si>
  <si>
    <t xml:space="preserve">Mind 5 · FTD 5</t>
  </si>
  <si>
    <t xml:space="preserve">INT 5 · FTD 5</t>
  </si>
  <si>
    <t xml:space="preserve">Cool Head</t>
  </si>
  <si>
    <t xml:space="preserve">If set on fire while on ice, immediately put it out and gain the Cool Head status for 30s. During Cool Head, you…</t>
  </si>
  <si>
    <t xml:space="preserve">Cornered Fool</t>
  </si>
  <si>
    <t xml:space="preserve">Empath</t>
  </si>
  <si>
    <t xml:space="preserve">CHA 85 · mantra Taunt · with prerequisites: CHA 85 (Taunt)</t>
  </si>
  <si>
    <t xml:space="preserve">CHA 85</t>
  </si>
  <si>
    <t xml:space="preserve">Unswayed (2)</t>
  </si>
  <si>
    <t xml:space="preserve">Blockbreaking a Charmed opponent procs Taunted for 5s, making them take and deal more damage.</t>
  </si>
  <si>
    <t xml:space="preserve">Corpse Explosion</t>
  </si>
  <si>
    <t xml:space="preserve">Inferno</t>
  </si>
  <si>
    <t xml:space="preserve">FLM 60 · after Agitating Spark · with prerequisites: FLM 60 (Agitating Spark)</t>
  </si>
  <si>
    <t xml:space="preserve">FLM 60</t>
  </si>
  <si>
    <t xml:space="preserve">Bodies that you burn to death immediately explode, dealing massive damage. Your fires will incinerate unconscious…</t>
  </si>
  <si>
    <t xml:space="preserve">Counter Spin</t>
  </si>
  <si>
    <t xml:space="preserve">MED 35</t>
  </si>
  <si>
    <t xml:space="preserve">Both Ends (2)</t>
  </si>
  <si>
    <t xml:space="preserve">Crimson Fountain</t>
  </si>
  <si>
    <t xml:space="preserve">BLD 35</t>
  </si>
  <si>
    <t xml:space="preserve">Blockbreaking or flourishing an enemy now spills a pool of blood below them. Blood mantras cast within blood pools…</t>
  </si>
  <si>
    <t xml:space="preserve">Crippling Comeuppance</t>
  </si>
  <si>
    <t xml:space="preserve">AGL 100 · mantra Revenge · with prerequisites: AGL 100 (Revenge)</t>
  </si>
  <si>
    <t xml:space="preserve">AGL 100</t>
  </si>
  <si>
    <t xml:space="preserve">Landing Revenge puts your opponent's Mobility slot Mantras on CD and applies Sluggish to PvE enemies for 15s.</t>
  </si>
  <si>
    <t xml:space="preserve">Critical Engine</t>
  </si>
  <si>
    <t xml:space="preserve">Intellisense</t>
  </si>
  <si>
    <t xml:space="preserve">any weapon 30 · INT 90</t>
  </si>
  <si>
    <t xml:space="preserve">HVY 30 · INT 90</t>
  </si>
  <si>
    <t xml:space="preserve">Heavy Cannonball (2)</t>
  </si>
  <si>
    <t xml:space="preserve">You gain the ability to use Deep Gems on your critical attack. Hold out the Deep Gem you wish to apply to your crit…</t>
  </si>
  <si>
    <t xml:space="preserve">Cryonis</t>
  </si>
  <si>
    <t xml:space="preserve">ICE 40</t>
  </si>
  <si>
    <t xml:space="preserve">All ice spells casted ontop of ice cost less Ether.</t>
  </si>
  <si>
    <t xml:space="preserve">Crystal Shrapnel</t>
  </si>
  <si>
    <t xml:space="preserve">Glassdancer</t>
  </si>
  <si>
    <t xml:space="preserve">ICE 60 · after Glass Path: Crystallization · with prerequisites: ICE 60 (Glass Path: Crystallization)</t>
  </si>
  <si>
    <t xml:space="preserve">ICE 60</t>
  </si>
  <si>
    <t xml:space="preserve">Your crystal explosions now have an AoE that applies crystals to all hit.</t>
  </si>
  <si>
    <t xml:space="preserve">Cult of Personality</t>
  </si>
  <si>
    <t xml:space="preserve">Politician</t>
  </si>
  <si>
    <t xml:space="preserve">CHA 90</t>
  </si>
  <si>
    <t xml:space="preserve">You gain +3% PEN for each person Charmed, capping at +15% PEN.</t>
  </si>
  <si>
    <t xml:space="preserve">Cut to the Chase</t>
  </si>
  <si>
    <t xml:space="preserve">AGL 60</t>
  </si>
  <si>
    <t xml:space="preserve">Air Counter damage scaling is largely increased. Landing an Air Counter now initiates an uppercut. Deal 5% more damage…</t>
  </si>
  <si>
    <t xml:space="preserve">Cyclical Exsanguination</t>
  </si>
  <si>
    <t xml:space="preserve">Transitory Vitality</t>
  </si>
  <si>
    <t xml:space="preserve">BLD 65 · after Sow and Mend · with prerequisites: BLD 65 (Sow and Mend, Master Bloodrender, Expert Bloodrender, Adept Bloodrender, Bloodrender)</t>
  </si>
  <si>
    <t xml:space="preserve">BLD 65</t>
  </si>
  <si>
    <t xml:space="preserve">Whenever you deal more than 20 damage to an enemy in an instance, pause your temporary health decay for 3 seconds.</t>
  </si>
  <si>
    <t xml:space="preserve">Cyclone Blade</t>
  </si>
  <si>
    <t xml:space="preserve">AGL 30 · WND 55 · after Air Pressure · with prerequisites: AGL 30 · WND 55 (Air Pressure)</t>
  </si>
  <si>
    <t xml:space="preserve">AGL 30 · WND 55</t>
  </si>
  <si>
    <t xml:space="preserve">Phantom Step (2)</t>
  </si>
  <si>
    <t xml:space="preserve">After a successful Gale Dash you wrap your weapon in wind, causing your next Light attack to do +15% damage as bleed…</t>
  </si>
  <si>
    <t xml:space="preserve">Dancing Guard</t>
  </si>
  <si>
    <t xml:space="preserve">Bulwark</t>
  </si>
  <si>
    <t xml:space="preserve">FTD 55</t>
  </si>
  <si>
    <t xml:space="preserve">Parrying an opponent and then parrying another enemy in quick succession applies slow for 7s.</t>
  </si>
  <si>
    <t xml:space="preserve">Dancing Steps</t>
  </si>
  <si>
    <t xml:space="preserve">Flame Dancer</t>
  </si>
  <si>
    <t xml:space="preserve">Power 8 · FLM 35</t>
  </si>
  <si>
    <t xml:space="preserve">FLM 35</t>
  </si>
  <si>
    <t xml:space="preserve">Fire mantras now move you in the direction you're facing.</t>
  </si>
  <si>
    <t xml:space="preserve">Dark God</t>
  </si>
  <si>
    <t xml:space="preserve">Meteor Impact (1.044)</t>
  </si>
  <si>
    <t xml:space="preserve">If a Shadowcast mantra would drain your opponent's Ether to 0, drain from their Tempo instead and increase your Tempo.…</t>
  </si>
  <si>
    <t xml:space="preserve">Dark Hours</t>
  </si>
  <si>
    <t xml:space="preserve">SDW 35</t>
  </si>
  <si>
    <t xml:space="preserve">Your Shadowcast Mantras deal 15% more damage at night and in realms the Sun does not reach.</t>
  </si>
  <si>
    <t xml:space="preserve">Dark Receiver</t>
  </si>
  <si>
    <t xml:space="preserve">Sapper</t>
  </si>
  <si>
    <t xml:space="preserve">LTN 40 · SDW 40 · after Static Link · with prerequisites: LTN 40 · SDW 40 · INT 15 (Static Link)</t>
  </si>
  <si>
    <t xml:space="preserve">LTN 40 · SDW 40 · INT 15</t>
  </si>
  <si>
    <t xml:space="preserve">Shadow moves will also steal Ether from those you are Static Linked tethered to.</t>
  </si>
  <si>
    <t xml:space="preserve">Dark Replenishment</t>
  </si>
  <si>
    <t xml:space="preserve">SDW 50 · INT 25 · after Dark God · with prerequisites: SDW 50 · INT 25 (Dark God)</t>
  </si>
  <si>
    <t xml:space="preserve">SDW 50 · INT 25</t>
  </si>
  <si>
    <t xml:space="preserve">Dark Rift</t>
  </si>
  <si>
    <t xml:space="preserve">SDW 60 · after Dark Hours · with prerequisites: SDW 60 (Dark Hours)</t>
  </si>
  <si>
    <t xml:space="preserve">Enter a rifted state when you successfully dodge, where you can't be damaged until its duration ends. Can be cancelled…</t>
  </si>
  <si>
    <t xml:space="preserve">Dark Synergy</t>
  </si>
  <si>
    <t xml:space="preserve">SDW 45 · after Dark God · with prerequisites: SDW 45 (Dark God)</t>
  </si>
  <si>
    <t xml:space="preserve">SDW 45</t>
  </si>
  <si>
    <t xml:space="preserve">Engulf your enemy in shadows when flourishing them.</t>
  </si>
  <si>
    <t xml:space="preserve">Dark Waltz</t>
  </si>
  <si>
    <t xml:space="preserve">any weapon 90 · SDW 90</t>
  </si>
  <si>
    <t xml:space="preserve">HVY 90 · SDW 90</t>
  </si>
  <si>
    <t xml:space="preserve">Anytime you guardbreak your opponent with a light attack or critical, steal half of your opponent's current tempo.…</t>
  </si>
  <si>
    <t xml:space="preserve">CHA 55 · after Charismatic Cast, Chaotic Charm, Lasting Charisma, Tough Love · with prerequisites: CHA 55 (Charismatic Cast, Chaotic Charm, Lasting Charisma, Tough Love)</t>
  </si>
  <si>
    <t xml:space="preserve">Flourishing enemies that are charmed by you cause them to not be knocked back and dazed instead.</t>
  </si>
  <si>
    <t xml:space="preserve">Death From Above</t>
  </si>
  <si>
    <t xml:space="preserve">Starkindred</t>
  </si>
  <si>
    <t xml:space="preserve">after Oath: Starkindred</t>
  </si>
  <si>
    <t xml:space="preserve">Upon cancelling your Air Dash, reveal your wings and strike your enemy.</t>
  </si>
  <si>
    <t xml:space="preserve">Decisive Blow</t>
  </si>
  <si>
    <t xml:space="preserve">Critical Specialist</t>
  </si>
  <si>
    <t xml:space="preserve">after Knife's Journey · no stats of its own, but its prerequisites need LHT 30 (Knife's Journey)</t>
  </si>
  <si>
    <t xml:space="preserve">LHT 30</t>
  </si>
  <si>
    <t xml:space="preserve">Decisive Winds</t>
  </si>
  <si>
    <t xml:space="preserve">When damage below 50% health, don an aura of Decisive Winds for 10s.</t>
  </si>
  <si>
    <t xml:space="preserve">Deep Wound</t>
  </si>
  <si>
    <t xml:space="preserve">Assassin</t>
  </si>
  <si>
    <t xml:space="preserve">AGL 35</t>
  </si>
  <si>
    <t xml:space="preserve">Assassinating a target applies anti-heal for 20s and gives you a speed boost for 6s. Assassination damage now scales with level against mobs.</t>
  </si>
  <si>
    <t xml:space="preserve">Defensive Reprisal</t>
  </si>
  <si>
    <t xml:space="preserve">FTD 65</t>
  </si>
  <si>
    <t xml:space="preserve">Strong Stern (1.188)</t>
  </si>
  <si>
    <t xml:space="preserve">Being flourished grants you 10% posture resistance for 20s.</t>
  </si>
  <si>
    <t xml:space="preserve">Defensive Stance</t>
  </si>
  <si>
    <t xml:space="preserve">Needle</t>
  </si>
  <si>
    <t xml:space="preserve">LHT 50</t>
  </si>
  <si>
    <t xml:space="preserve">[Rapier] Gain more parry frames the lower your health is.</t>
  </si>
  <si>
    <t xml:space="preserve">Defensive Sweep</t>
  </si>
  <si>
    <t xml:space="preserve">[Spears] Posture breaking an opponent grants you +50% PEN for 3 seconds.</t>
  </si>
  <si>
    <t xml:space="preserve">Defiance</t>
  </si>
  <si>
    <t xml:space="preserve">WLL 70</t>
  </si>
  <si>
    <t xml:space="preserve">Perseverance (2), Sightless Still (2)</t>
  </si>
  <si>
    <t xml:space="preserve">Negative status effects are half as effective when you are below 35% HP.</t>
  </si>
  <si>
    <t xml:space="preserve">Denial Repulse</t>
  </si>
  <si>
    <t xml:space="preserve">Undying Ember</t>
  </si>
  <si>
    <t xml:space="preserve">WLL 40 · FLM 40 · mantra Flame of Denial · with prerequisites: WLL 40 · FLM 40 (Flame of Denial)</t>
  </si>
  <si>
    <t xml:space="preserve">WLL 40 · FLM 40</t>
  </si>
  <si>
    <t xml:space="preserve">You now emit a delayed burst of flames after coming close to death.</t>
  </si>
  <si>
    <t xml:space="preserve">Depressive State</t>
  </si>
  <si>
    <t xml:space="preserve">Psychopath</t>
  </si>
  <si>
    <t xml:space="preserve">WLL 90 · CHA 90 · after Guilt Trip, Rage Bait · with prerequisites: WLL 90 · CHA 100 (Guilt Trip, Rage Bait, Manipulator, Charismatic Cast)</t>
  </si>
  <si>
    <t xml:space="preserve">WLL 90 · CHA 100</t>
  </si>
  <si>
    <t xml:space="preserve">Destructive Recovery</t>
  </si>
  <si>
    <t xml:space="preserve">Colossus</t>
  </si>
  <si>
    <t xml:space="preserve">STR 25 · HVY 40</t>
  </si>
  <si>
    <t xml:space="preserve">[Greatsword] Enemies recover 20% less Posture when parrying.</t>
  </si>
  <si>
    <t xml:space="preserve">Dirty Boxing</t>
  </si>
  <si>
    <t xml:space="preserve">Scoundrel</t>
  </si>
  <si>
    <t xml:space="preserve">Fists of Fortitude (1.548)</t>
  </si>
  <si>
    <t xml:space="preserve">Hitting an enemy with a Basic Attack after feinting applies bleed, obscures their vision slightly and makes PvE…</t>
  </si>
  <si>
    <t xml:space="preserve">Disbelief</t>
  </si>
  <si>
    <t xml:space="preserve">WLL 25</t>
  </si>
  <si>
    <t xml:space="preserve">Narcissist (2)</t>
  </si>
  <si>
    <t xml:space="preserve">Reduces the duration of illusions cast on you by 30%. Halves the duration of the Charmed status on you.</t>
  </si>
  <si>
    <t xml:space="preserve">Discharge</t>
  </si>
  <si>
    <t xml:space="preserve">Thunder Brawler</t>
  </si>
  <si>
    <t xml:space="preserve">LHT 20 · LTN 15</t>
  </si>
  <si>
    <t xml:space="preserve">[Light Weapons] On 5th successful attack you will discharge static dealing lightning damage to those nearby.</t>
  </si>
  <si>
    <t xml:space="preserve">Discovery of Fire</t>
  </si>
  <si>
    <t xml:space="preserve">Flints and Flamecharm are for simpletons.</t>
  </si>
  <si>
    <t xml:space="preserve">Dispatch</t>
  </si>
  <si>
    <t xml:space="preserve">MED 55 · after Bear Trap · with prerequisites: MED 55 · STR 20 · AGL 20 (Bear Trap)</t>
  </si>
  <si>
    <t xml:space="preserve">MED 55 · STR 20 · AGL 20</t>
  </si>
  <si>
    <t xml:space="preserve">[Clubs] Bear Trapped targets deal 20% less posture. Dazed targets deal 20% less posture. This can stack.</t>
  </si>
  <si>
    <t xml:space="preserve">Donation Drive</t>
  </si>
  <si>
    <t xml:space="preserve">BLD 50 · CHA 55 · after Manipulator · with prerequisites: BLD 50 · CHA 60 (Manipulator, Charismatic Cast)</t>
  </si>
  <si>
    <t xml:space="preserve">BLD 50 · CHA 60</t>
  </si>
  <si>
    <t xml:space="preserve">Blood Bank (2)</t>
  </si>
  <si>
    <t xml:space="preserve">Down Comes the Claw</t>
  </si>
  <si>
    <t xml:space="preserve">Landing a Critical while you have a speed boost prevents your opponent from being able to dodge twice in a row for 5s.</t>
  </si>
  <si>
    <t xml:space="preserve">Down to your Level</t>
  </si>
  <si>
    <t xml:space="preserve">FTD 60</t>
  </si>
  <si>
    <t xml:space="preserve">While you have a speed debuff, your Basic Attacks slow your enemies for 5s.</t>
  </si>
  <si>
    <t xml:space="preserve">Dragon's Song</t>
  </si>
  <si>
    <t xml:space="preserve">Using a mantra after an uppercut grants ether.</t>
  </si>
  <si>
    <t xml:space="preserve">Dread Fighter</t>
  </si>
  <si>
    <t xml:space="preserve">Parrying and getting hit by mantras now give you stacks of Dread. Each stack lasts for 15 seconds.</t>
  </si>
  <si>
    <t xml:space="preserve">Driving Impact</t>
  </si>
  <si>
    <t xml:space="preserve">[Spears] The first hit of your Spear's Critical Attack will deal greatly increased posture damage. Subsequent hits…</t>
  </si>
  <si>
    <t xml:space="preserve">Duelist's Lunge</t>
  </si>
  <si>
    <t xml:space="preserve">[Rapier] Running attacks deal increased posture damage. Upon landing your Critical, your next running attack will have…</t>
  </si>
  <si>
    <t xml:space="preserve">Dustlunge</t>
  </si>
  <si>
    <t xml:space="preserve">Swiftshade</t>
  </si>
  <si>
    <t xml:space="preserve">AGL 90 · after Lowstride, Unseen Threat, Deep Wound, Lights Out · with prerequisites: AGL 90 (Lowstride, Unseen Threat, Deep Wound, Lights Out)</t>
  </si>
  <si>
    <t xml:space="preserve">AGL 90</t>
  </si>
  <si>
    <t xml:space="preserve">You can now assassinate your enemies from much farther, shadestepping to their location if they're too far.…</t>
  </si>
  <si>
    <t xml:space="preserve">Echoing Lunatic</t>
  </si>
  <si>
    <t xml:space="preserve">Mindbreaker</t>
  </si>
  <si>
    <t xml:space="preserve">WLL 55 · after Ardour Scream · with prerequisites: WLL 55 (Ardour Scream)</t>
  </si>
  <si>
    <t xml:space="preserve">WLL 55</t>
  </si>
  <si>
    <t xml:space="preserve">Unswayed (1.1159999999999999)</t>
  </si>
  <si>
    <t xml:space="preserve">Your Ardour Scream now inflicts insanity.</t>
  </si>
  <si>
    <t xml:space="preserve">Electrify</t>
  </si>
  <si>
    <t xml:space="preserve">LTN 25</t>
  </si>
  <si>
    <t xml:space="preserve">Shock yourself and apply Amped for 15s. Can be used while Carried to escape.</t>
  </si>
  <si>
    <t xml:space="preserve">Electrolyte</t>
  </si>
  <si>
    <t xml:space="preserve">BLD 40 · LTN 40</t>
  </si>
  <si>
    <t xml:space="preserve">Hitting Bloodrend mantras while having temporary health applies Shocked while removing a portion of temporary health.</t>
  </si>
  <si>
    <t xml:space="preserve">Elemental Mentalist</t>
  </si>
  <si>
    <t xml:space="preserve">Toxic Personality</t>
  </si>
  <si>
    <t xml:space="preserve">CHA 80 · INT 40 · after Charismatic Cast · with prerequisites: CHA 80 · INT 40 (Charismatic Cast)</t>
  </si>
  <si>
    <t xml:space="preserve">CHA 80 · INT 40</t>
  </si>
  <si>
    <t xml:space="preserve">Tough Love</t>
  </si>
  <si>
    <t xml:space="preserve">Embolism</t>
  </si>
  <si>
    <t xml:space="preserve">If an enemy is guardbroken while you have temporary health, convert your temporary health into additional damage.</t>
  </si>
  <si>
    <t xml:space="preserve">Emergency Reserves</t>
  </si>
  <si>
    <t xml:space="preserve">WLL 80</t>
  </si>
  <si>
    <t xml:space="preserve">When you get hit below 20% health, gain 20% tempo immediately.</t>
  </si>
  <si>
    <t xml:space="preserve">Emperor Flame</t>
  </si>
  <si>
    <t xml:space="preserve">The Emperor's Blade</t>
  </si>
  <si>
    <t xml:space="preserve">Explosive Finish (2), Explosive Rage (2)</t>
  </si>
  <si>
    <t xml:space="preserve">Absorb fire produced by you, once you reach 5 stacks your next attack will be an automatic Explosive Finish flourish.…</t>
  </si>
  <si>
    <t xml:space="preserve">Empowered Eruption</t>
  </si>
  <si>
    <t xml:space="preserve">Lava Serpent</t>
  </si>
  <si>
    <t xml:space="preserve">FLM 50 · after Eruption Path: Lava Serpent · with prerequisites: FLM 50 (Eruption Path: Lava Serpent)</t>
  </si>
  <si>
    <t xml:space="preserve">FLM 50</t>
  </si>
  <si>
    <t xml:space="preserve">Flash Point (2)</t>
  </si>
  <si>
    <t xml:space="preserve">Your next Eruption after landing a critical is Empowered with +50% range and damage.</t>
  </si>
  <si>
    <t xml:space="preserve">Encore</t>
  </si>
  <si>
    <t xml:space="preserve">Vocalist</t>
  </si>
  <si>
    <t xml:space="preserve">CHA 40 · mantra Sing · with prerequisites: CHA 40 (Sing)</t>
  </si>
  <si>
    <t xml:space="preserve">Your Sing will stun opponents who are already charmed.</t>
  </si>
  <si>
    <t xml:space="preserve">Endurance Runner</t>
  </si>
  <si>
    <t xml:space="preserve">Your speed is decreased less by low health.</t>
  </si>
  <si>
    <t xml:space="preserve">Energy Siphon</t>
  </si>
  <si>
    <t xml:space="preserve">SDW 60 · after Blackhole, Singularity · with prerequisites: SDW 60 (Blackhole, Singularity)</t>
  </si>
  <si>
    <t xml:space="preserve">Your singularity now pulls ether from the extra players affected by Blackhole.</t>
  </si>
  <si>
    <t xml:space="preserve">Enhanced Flow</t>
  </si>
  <si>
    <t xml:space="preserve">Sanguine Wager</t>
  </si>
  <si>
    <t xml:space="preserve">BLD 90 · any weapon 90 · after Rush Hour · with prerequisites: BLD 90 · HVY 90 (Rush Hour)</t>
  </si>
  <si>
    <t xml:space="preserve">BLD 90 · HVY 90</t>
  </si>
  <si>
    <t xml:space="preserve">Refine your Rush Hour, allowing you to now also gain temp health whenever you hit a player while using Rush Hour. You…</t>
  </si>
  <si>
    <t xml:space="preserve">Enrage</t>
  </si>
  <si>
    <t xml:space="preserve">Instigator</t>
  </si>
  <si>
    <t xml:space="preserve">CHA 65 · after Encore · with prerequisites: CHA 65 (Encore, Sing)</t>
  </si>
  <si>
    <t xml:space="preserve">CHA 65</t>
  </si>
  <si>
    <t xml:space="preserve">Entropy Link</t>
  </si>
  <si>
    <t xml:space="preserve">Linkstrider</t>
  </si>
  <si>
    <t xml:space="preserve">after Oath: Linkstrider</t>
  </si>
  <si>
    <t xml:space="preserve">The world is broken, linked by fragile webs. Traverse the path by stating your destination amidst the flame.</t>
  </si>
  <si>
    <t xml:space="preserve">Eruption Path: Lava Serpent</t>
  </si>
  <si>
    <t xml:space="preserve">Agitating Spark (2), Immolation (2), Glass Path: Crystallization (1.368)</t>
  </si>
  <si>
    <t xml:space="preserve">Flashboil, The Final Act, Wraith Path: Twisted Puppets</t>
  </si>
  <si>
    <t xml:space="preserve">Your fire abilities no longer proc burn and instead proc an eruption under the enemies feet.</t>
  </si>
  <si>
    <t xml:space="preserve">Ether Absorption</t>
  </si>
  <si>
    <t xml:space="preserve">Ether Conduit</t>
  </si>
  <si>
    <t xml:space="preserve">INT 15</t>
  </si>
  <si>
    <t xml:space="preserve">Heavy Shoulders (1.1039999999999999)</t>
  </si>
  <si>
    <t xml:space="preserve">Receive Ether back when inflicted with damage from Mantras.</t>
  </si>
  <si>
    <t xml:space="preserve">Ether Blade</t>
  </si>
  <si>
    <t xml:space="preserve">AGL 20 · INT 15</t>
  </si>
  <si>
    <t xml:space="preserve">Ether Overdrive</t>
  </si>
  <si>
    <t xml:space="preserve">INT 90</t>
  </si>
  <si>
    <t xml:space="preserve">Gain 5% extra PEN and remove the cap on your PEN. Go beyond your limits.</t>
  </si>
  <si>
    <t xml:space="preserve">Ether Proselyte</t>
  </si>
  <si>
    <t xml:space="preserve">Saintsworn</t>
  </si>
  <si>
    <t xml:space="preserve">after Oath: Saintsworn</t>
  </si>
  <si>
    <t xml:space="preserve">Ethiron's Gaze</t>
  </si>
  <si>
    <t xml:space="preserve">Drowned Secret</t>
  </si>
  <si>
    <t xml:space="preserve">Your eyes have been opened to the wasteland. You can see through the harsh fog of the storm of the Eternal Gale more…</t>
  </si>
  <si>
    <t xml:space="preserve">Eureka</t>
  </si>
  <si>
    <t xml:space="preserve">INT 30</t>
  </si>
  <si>
    <t xml:space="preserve">Gain a stack of Inspiration every time you land or parry a Mantra. Whiffing a Mantra removes a stack of Inspiration. Reaching 3 stacks grants +10% Mantra Damage to your n</t>
  </si>
  <si>
    <t xml:space="preserve">Evasive Expert</t>
  </si>
  <si>
    <t xml:space="preserve">Butterfly</t>
  </si>
  <si>
    <t xml:space="preserve">AGL 15 · after Swift Rebound · with prerequisites: AGL 15 (Swift Rebound)</t>
  </si>
  <si>
    <t xml:space="preserve">AGL 15</t>
  </si>
  <si>
    <t xml:space="preserve">Your speed boost granted from dodging is increased.</t>
  </si>
  <si>
    <t xml:space="preserve">Everchanging Aegis</t>
  </si>
  <si>
    <t xml:space="preserve">Adept Caster</t>
  </si>
  <si>
    <t xml:space="preserve">You take 20% less from attacks the same element as the last element you were hit with, but 10% more damage from…</t>
  </si>
  <si>
    <t xml:space="preserve">Excavator</t>
  </si>
  <si>
    <t xml:space="preserve">Prospector</t>
  </si>
  <si>
    <t xml:space="preserve">Chance to receive two sets of ore when mining, mine ores a lot faster.</t>
  </si>
  <si>
    <t xml:space="preserve">Execution</t>
  </si>
  <si>
    <t xml:space="preserve">LHT 90 · (MED 90 or HVY 90)</t>
  </si>
  <si>
    <t xml:space="preserve">LHT 90 · MED 90</t>
  </si>
  <si>
    <t xml:space="preserve">Muffled Screams (2)</t>
  </si>
  <si>
    <t xml:space="preserve">Hip Shooter</t>
  </si>
  <si>
    <t xml:space="preserve">Your offhand gun attacks now count as flourishes and do a flat 20 extra damage when used with no bullets.</t>
  </si>
  <si>
    <t xml:space="preserve">Exoskeleton</t>
  </si>
  <si>
    <t xml:space="preserve">Freak of Nature</t>
  </si>
  <si>
    <t xml:space="preserve">FTD 40</t>
  </si>
  <si>
    <t xml:space="preserve">Armor Conserver (2)</t>
  </si>
  <si>
    <t xml:space="preserve">You have a layer of fortified Natural Armor that replenishes when you rest. Your Natural Armor will resist 10%…</t>
  </si>
  <si>
    <t xml:space="preserve">Expert Bloodrender</t>
  </si>
  <si>
    <t xml:space="preserve">BLD 30 · after Adept Bloodrender · with prerequisites: BLD 30 (Adept Bloodrender, Bloodrender)</t>
  </si>
  <si>
    <t xml:space="preserve">You can now obtain 2-star Bloodrender mantras.</t>
  </si>
  <si>
    <t xml:space="preserve">Expert Flamecharmer</t>
  </si>
  <si>
    <t xml:space="preserve">FLM 30 · after Adept Flamecharmer · with prerequisites: FLM 30 (Adept Flamecharmer, Flamecharmer)</t>
  </si>
  <si>
    <t xml:space="preserve">FLM 30</t>
  </si>
  <si>
    <t xml:space="preserve">You can now obtain 2-Star Leveled Flamecharmer Mantras.</t>
  </si>
  <si>
    <t xml:space="preserve">Expert Frostdrawer</t>
  </si>
  <si>
    <t xml:space="preserve">ICE 30 · after Adept Frostdrawer · with prerequisites: ICE 30 (Adept Frostdrawer, Frostdrawer)</t>
  </si>
  <si>
    <t xml:space="preserve">You can now obtain 2-Star Leveled Frostdraw Mantras.</t>
  </si>
  <si>
    <t xml:space="preserve">Expert Galebreather</t>
  </si>
  <si>
    <t xml:space="preserve">WND 30 · after Adept Galebreather · with prerequisites: WND 30 (Adept Galebreather, Galebreather)</t>
  </si>
  <si>
    <t xml:space="preserve">You can now obtain 2-Star Leveled Galebreathe mantras.</t>
  </si>
  <si>
    <t xml:space="preserve">Expert Ironsinger</t>
  </si>
  <si>
    <t xml:space="preserve">IRN 30 · after Adept Ironsinger · with prerequisites: IRN 30 (Adept Ironsinger, Ironsinger)</t>
  </si>
  <si>
    <t xml:space="preserve">IRN 30</t>
  </si>
  <si>
    <t xml:space="preserve">You can now obtain 2-star Ironsinger mantras.</t>
  </si>
  <si>
    <t xml:space="preserve">Expert Shadowcaster</t>
  </si>
  <si>
    <t xml:space="preserve">SDW 30 · after Adept Shadowcaster · with prerequisites: SDW 30 (Adept Shadowcaster, Shadowcaster)</t>
  </si>
  <si>
    <t xml:space="preserve">SDW 30</t>
  </si>
  <si>
    <t xml:space="preserve">You can now obtain 2-star Leveled Shadowcaster Mantras.</t>
  </si>
  <si>
    <t xml:space="preserve">Expert Thundercaller</t>
  </si>
  <si>
    <t xml:space="preserve">LTN 30 · after Adept Thundercaller · with prerequisites: LTN 30 (Adept Thundercaller, Thundercaller)</t>
  </si>
  <si>
    <t xml:space="preserve">LTN 30</t>
  </si>
  <si>
    <t xml:space="preserve">You can now obtain 2-star Thundercaller mantras.</t>
  </si>
  <si>
    <t xml:space="preserve">Explosive Efficiency</t>
  </si>
  <si>
    <t xml:space="preserve">Saboteur</t>
  </si>
  <si>
    <t xml:space="preserve">after Hot Potato</t>
  </si>
  <si>
    <t xml:space="preserve">Crafting a bomb will yield two bombs. Chance to make three.</t>
  </si>
  <si>
    <t xml:space="preserve">Explosive Finish</t>
  </si>
  <si>
    <t xml:space="preserve">The Demon Blade</t>
  </si>
  <si>
    <t xml:space="preserve">FLM 45</t>
  </si>
  <si>
    <t xml:space="preserve">Emperor Flame (2), Explosive Rage (2)</t>
  </si>
  <si>
    <t xml:space="preserve">If an enemy is on fire when you flourish, blast them away with a fire blast.</t>
  </si>
  <si>
    <t xml:space="preserve">Explosive Rage</t>
  </si>
  <si>
    <t xml:space="preserve">The Final Act (2), Explosive Finish (2), Emperor Flame (2), Scorchblood (2)</t>
  </si>
  <si>
    <t xml:space="preserve">Causing explosion will make your puppets go into a frenzy, speeding up and dealing 50% more damage.</t>
  </si>
  <si>
    <t xml:space="preserve">Exposed Durability</t>
  </si>
  <si>
    <t xml:space="preserve">IRN 60</t>
  </si>
  <si>
    <t xml:space="preserve">Deal 10% more damage to opponents with no armor durability left.</t>
  </si>
  <si>
    <t xml:space="preserve">Face Cutter</t>
  </si>
  <si>
    <t xml:space="preserve">Twinblade</t>
  </si>
  <si>
    <t xml:space="preserve">MED 75 · after Spine Cutter · with prerequisites: MED 75 · STR 20 · AGL 25 (Spine Cutter)</t>
  </si>
  <si>
    <t xml:space="preserve">MED 75 · STR 20 · AGL 25</t>
  </si>
  <si>
    <t xml:space="preserve">Your Spine Cutter now deals an additional hit.</t>
  </si>
  <si>
    <t xml:space="preserve">Family Recipe</t>
  </si>
  <si>
    <t xml:space="preserve">You can now craft bombs at a crafting bench.</t>
  </si>
  <si>
    <t xml:space="preserve">Fan the Flames</t>
  </si>
  <si>
    <t xml:space="preserve">Heat Column</t>
  </si>
  <si>
    <t xml:space="preserve">FLM 40 · after Inhale · with prerequisites: FLM 40 · WND 60 (Inhale)</t>
  </si>
  <si>
    <t xml:space="preserve">FLM 40 · WND 60</t>
  </si>
  <si>
    <t xml:space="preserve">Your stored Wind mantras can now empower your Fire mantras.</t>
  </si>
  <si>
    <t xml:space="preserve">Fang and Coil</t>
  </si>
  <si>
    <t xml:space="preserve">(LHT 20)</t>
  </si>
  <si>
    <t xml:space="preserve">LHT 20</t>
  </si>
  <si>
    <t xml:space="preserve">Adopt the path of the serpent.</t>
  </si>
  <si>
    <t xml:space="preserve">Fast Blade</t>
  </si>
  <si>
    <t xml:space="preserve">Nimble Blade</t>
  </si>
  <si>
    <t xml:space="preserve">AGL 20</t>
  </si>
  <si>
    <t xml:space="preserve">Lightspeed Reflexes (2)</t>
  </si>
  <si>
    <t xml:space="preserve">Extend the speed boost you get from successfully parrying an attack.</t>
  </si>
  <si>
    <t xml:space="preserve">Fear the Dark</t>
  </si>
  <si>
    <t xml:space="preserve">SDW 50</t>
  </si>
  <si>
    <t xml:space="preserve">Lasting Sorrow (2)</t>
  </si>
  <si>
    <t xml:space="preserve">Enemies that run from you after being hit by your shadows will hang in place briefly.</t>
  </si>
  <si>
    <t xml:space="preserve">Finishing Touch</t>
  </si>
  <si>
    <t xml:space="preserve">LHT 40 · AGL 50</t>
  </si>
  <si>
    <t xml:space="preserve">[Dagger] Instantly execute enemies finished with the critical attack of your dagger.</t>
  </si>
  <si>
    <t xml:space="preserve">First Blood</t>
  </si>
  <si>
    <t xml:space="preserve">BLD 10</t>
  </si>
  <si>
    <t xml:space="preserve">Your first blood mantra you use in combat has no blood cost and deals additional blood drain.</t>
  </si>
  <si>
    <t xml:space="preserve">First Interrogation</t>
  </si>
  <si>
    <t xml:space="preserve">LTN 65 · after Resolve Crusher · with prerequisites: LTN 65 (Resolve Crusher)</t>
  </si>
  <si>
    <t xml:space="preserve">LTN 65</t>
  </si>
  <si>
    <t xml:space="preserve">Attacks from opponents who are Electrified will give you ether proportional to their initial damage.</t>
  </si>
  <si>
    <t xml:space="preserve">Fisher's Lure</t>
  </si>
  <si>
    <t xml:space="preserve">Angler</t>
  </si>
  <si>
    <t xml:space="preserve">Fish are drawn to your line more quickly.</t>
  </si>
  <si>
    <t xml:space="preserve">Fishman</t>
  </si>
  <si>
    <t xml:space="preserve">Fish</t>
  </si>
  <si>
    <t xml:space="preserve">When your Blood is over 50%, you won't drown when Unconscious in water. Gain additional healing from knocking others…</t>
  </si>
  <si>
    <t xml:space="preserve">Fists of Fortitude</t>
  </si>
  <si>
    <t xml:space="preserve">LHT 20 · FTD 20</t>
  </si>
  <si>
    <t xml:space="preserve">Dirty Boxing (1.548), Pocket Sand (1.656)</t>
  </si>
  <si>
    <t xml:space="preserve">Orbital Ice</t>
  </si>
  <si>
    <t xml:space="preserve">Every 6 hits with your fists builds up a shield of endurance reducing incoming damage by 15%. 70s CD.</t>
  </si>
  <si>
    <t xml:space="preserve">Flame Within</t>
  </si>
  <si>
    <t xml:space="preserve">Amoran Seeker</t>
  </si>
  <si>
    <t xml:space="preserve">FLM 25</t>
  </si>
  <si>
    <t xml:space="preserve">Nullifying Clarity (3), Immolation (2), Phoenix Flames (2)</t>
  </si>
  <si>
    <t xml:space="preserve">An application of Pleeksty's concept of the inner flame, also known as the soul of man. Set yourself ablaze to gain…</t>
  </si>
  <si>
    <t xml:space="preserve">Flamecharm Unbounded</t>
  </si>
  <si>
    <t xml:space="preserve">FLM 75 · after Master Flamecharmer · with prerequisites: FLM 75 (Master Flamecharmer, Expert Flamecharmer, Adept Flamecharmer, Flamecharmer)</t>
  </si>
  <si>
    <t xml:space="preserve">FLM 75</t>
  </si>
  <si>
    <t xml:space="preserve">You have gained the ability to surpass your limits and train your Flamecharm to its fullest.</t>
  </si>
  <si>
    <t xml:space="preserve">FLM 1</t>
  </si>
  <si>
    <t xml:space="preserve">Grants you the ability to command Fire as a Flamecharmer.</t>
  </si>
  <si>
    <t xml:space="preserve">Flamewalker</t>
  </si>
  <si>
    <t xml:space="preserve">FLM 40 · AGL 25 · after Warding Radiance · with prerequisites: FLM 40 · AGL 25 (Warding Radiance)</t>
  </si>
  <si>
    <t xml:space="preserve">FLM 40 · AGL 25</t>
  </si>
  <si>
    <t xml:space="preserve">When Warding Radiance is active you leave trails of flame when you slide.</t>
  </si>
  <si>
    <t xml:space="preserve">Flaming Flourish</t>
  </si>
  <si>
    <t xml:space="preserve">Set enemies on fire when you flourish or uppercut them.</t>
  </si>
  <si>
    <t xml:space="preserve">Flash Point</t>
  </si>
  <si>
    <t xml:space="preserve">FLM 55 · after Eruption Path: Lava Serpent · with prerequisites: FLM 55 (Eruption Path: Lava Serpent)</t>
  </si>
  <si>
    <t xml:space="preserve">FLM 55</t>
  </si>
  <si>
    <t xml:space="preserve">Empowered Eruption (2)</t>
  </si>
  <si>
    <t xml:space="preserve">Block breaking an opponent causes your Eruptions to be Empowered for the next 10s. Block breaking an opponent with a…</t>
  </si>
  <si>
    <t xml:space="preserve">Flashboil</t>
  </si>
  <si>
    <t xml:space="preserve">Eruption Path: Lava Serpent, Glass Path: Crystallization, Wraith Path: Twisted Puppets</t>
  </si>
  <si>
    <t xml:space="preserve">Landing Ice/fire attacks on burning/chilled enemies extinguishes the flame and generates steam.</t>
  </si>
  <si>
    <t xml:space="preserve">Float Like a Butterfly</t>
  </si>
  <si>
    <t xml:space="preserve">Bladeharper</t>
  </si>
  <si>
    <t xml:space="preserve">after Oath: Bladeharper</t>
  </si>
  <si>
    <t xml:space="preserve">While having True Strength active, cancel your air dash to enter a frenzy of slashes.</t>
  </si>
  <si>
    <t xml:space="preserve">Flow State</t>
  </si>
  <si>
    <t xml:space="preserve">Enter a moment of extreme focus in which you can change the windup of your special attacks with the correct timing.</t>
  </si>
  <si>
    <t xml:space="preserve">Flying Swiftkick</t>
  </si>
  <si>
    <t xml:space="preserve">Justicar</t>
  </si>
  <si>
    <t xml:space="preserve">after Jus Karita, Swiftkick Prodigy · no stats of its own, but its prerequisites need LHT 40 (Jus Karita)</t>
  </si>
  <si>
    <t xml:space="preserve">LHT 40</t>
  </si>
  <si>
    <t xml:space="preserve">Hitting a Jus Karita critical attack while Swiftkick Prodigy is active will greatly slow your enemy, and consume your…</t>
  </si>
  <si>
    <t xml:space="preserve">Foolish Outburst</t>
  </si>
  <si>
    <t xml:space="preserve">Tactician</t>
  </si>
  <si>
    <t xml:space="preserve">INT 50</t>
  </si>
  <si>
    <t xml:space="preserve">Blocking or parrying a vent will absorb the Tempo cost of the vent.</t>
  </si>
  <si>
    <t xml:space="preserve">Formless</t>
  </si>
  <si>
    <t xml:space="preserve">Soulbreaker</t>
  </si>
  <si>
    <t xml:space="preserve">after Oath: Soulbreaker</t>
  </si>
  <si>
    <t xml:space="preserve">Teleport to a location within your Tacet bubble. Receive a slight speed boost when activating Tacet.</t>
  </si>
  <si>
    <t xml:space="preserve">Fortitude Unbounded</t>
  </si>
  <si>
    <t xml:space="preserve">FTD 75</t>
  </si>
  <si>
    <t xml:space="preserve">You have gained the ability to surpass your limits and train your fortitude to its fullest.</t>
  </si>
  <si>
    <t xml:space="preserve">Fragile Freeze</t>
  </si>
  <si>
    <t xml:space="preserve">Frozen Legs (0.84), Bottom Freeze (0.864)</t>
  </si>
  <si>
    <t xml:space="preserve">Your Basic Attacks and Criticals now apply Frozen to Chilled opponents on guardbreak.</t>
  </si>
  <si>
    <t xml:space="preserve">Freezing Wight</t>
  </si>
  <si>
    <t xml:space="preserve">Cold Phantom</t>
  </si>
  <si>
    <t xml:space="preserve">ICE 40 · after Haunted Gale · with prerequisites: ICE 40 · WND 40 (Haunted Gale)</t>
  </si>
  <si>
    <t xml:space="preserve">ICE 40 · WND 40</t>
  </si>
  <si>
    <t xml:space="preserve">Apparitions (2)</t>
  </si>
  <si>
    <t xml:space="preserve">Your Haunted Gale now procs Chilled.</t>
  </si>
  <si>
    <t xml:space="preserve">Frenzied Dance</t>
  </si>
  <si>
    <t xml:space="preserve">[Rapier] The more posture you currently have, the more chip and posture damage you deal.</t>
  </si>
  <si>
    <t xml:space="preserve">Fried Circuits</t>
  </si>
  <si>
    <t xml:space="preserve">LTN 60 · after Surge Path: Unstable Capacitor · with prerequisites: LTN 60 (Surge Path: Unstable Capacitor)</t>
  </si>
  <si>
    <t xml:space="preserve">Frost Buster</t>
  </si>
  <si>
    <t xml:space="preserve">HVY 15 · ICE 45</t>
  </si>
  <si>
    <t xml:space="preserve">Greatsword Criticals and Greathammer Criticals now leave a place Ice below the path they carve.</t>
  </si>
  <si>
    <t xml:space="preserve">Frostbite</t>
  </si>
  <si>
    <t xml:space="preserve">Enemies can no longer heal when Chilled by you. PvE enemies also net you 5% more Heal Boost when Chilled.</t>
  </si>
  <si>
    <t xml:space="preserve">Frostdraw Unbounded</t>
  </si>
  <si>
    <t xml:space="preserve">ICE 75 · after Master Frostdrawer · with prerequisites: ICE 75 (Master Frostdrawer, Expert Frostdrawer, Adept Frostdrawer, Frostdrawer)</t>
  </si>
  <si>
    <t xml:space="preserve">ICE 75</t>
  </si>
  <si>
    <t xml:space="preserve">You have gained the ability to surpass your limits and train your Frostdraw to its fullest.</t>
  </si>
  <si>
    <t xml:space="preserve">ICE 1</t>
  </si>
  <si>
    <t xml:space="preserve">Grants you the ability to command Ice as a Frostdrawer.</t>
  </si>
  <si>
    <t xml:space="preserve">Frozen Anchor</t>
  </si>
  <si>
    <t xml:space="preserve">any weapon 100 · ICE 100</t>
  </si>
  <si>
    <t xml:space="preserve">HVY 100 · ICE 100</t>
  </si>
  <si>
    <t xml:space="preserve">Bottom Freeze (2)</t>
  </si>
  <si>
    <t xml:space="preserve">Apply bottom freeze and chill to your opponent whenever you land a flourish, uppercut, or crit.</t>
  </si>
  <si>
    <t xml:space="preserve">Frozen Legs</t>
  </si>
  <si>
    <t xml:space="preserve">Frozen Warrior</t>
  </si>
  <si>
    <t xml:space="preserve">Fragile Freeze (0.84), Frozen Pin-Cushion (0.9239999999999999), Bottom Freeze (0.948)</t>
  </si>
  <si>
    <t xml:space="preserve">Chilled applied by Mantras prevents your opponents from rolling.</t>
  </si>
  <si>
    <t xml:space="preserve">Frozen Pin-Cushion</t>
  </si>
  <si>
    <t xml:space="preserve">ICE 60 · mantra Ice Daggers · with prerequisites: ICE 60 (Ice Daggers)</t>
  </si>
  <si>
    <t xml:space="preserve">Frozen Legs (0.9239999999999999)</t>
  </si>
  <si>
    <t xml:space="preserve">Your Ice Daggers now apply Frozen.</t>
  </si>
  <si>
    <t xml:space="preserve">Frozen Web</t>
  </si>
  <si>
    <t xml:space="preserve">Doomsday Engine</t>
  </si>
  <si>
    <t xml:space="preserve">ICE 40 · LTN 40 · after Static Link · with prerequisites: ICE 40 · LTN 40 · INT 15 (Static Link)</t>
  </si>
  <si>
    <t xml:space="preserve">ICE 40 · LTN 40 · INT 15</t>
  </si>
  <si>
    <t xml:space="preserve">Landing a critical with a Static Link on your opponent applies Chilled.</t>
  </si>
  <si>
    <t xml:space="preserve">Fulgurite Formation</t>
  </si>
  <si>
    <t xml:space="preserve">Frozen Lightning</t>
  </si>
  <si>
    <t xml:space="preserve">ICE 50 · LTN 50 · after Glass Path: Crystallization, Surge Path: Unstable Capacitor · with prerequisites: ICE 50 · LTN 50 (Glass Path: Crystallization, Surge Path: Unstable Capacitor)</t>
  </si>
  <si>
    <t xml:space="preserve">ICE 50 · LTN 50</t>
  </si>
  <si>
    <t xml:space="preserve">When your Crystals explode, lightning strikes. When your Surge charges Overload on an enemy, your Crystals apply twice…</t>
  </si>
  <si>
    <t xml:space="preserve">Full Reset</t>
  </si>
  <si>
    <t xml:space="preserve">Power 16</t>
  </si>
  <si>
    <t xml:space="preserve">Knocking an enemy resets your resonance cooldowns. This effect has a 60 second cooldown.</t>
  </si>
  <si>
    <t xml:space="preserve">Gale Trap</t>
  </si>
  <si>
    <t xml:space="preserve">WND 50 · after Wind Step · with prerequisites: WND 50 (Wind Step)</t>
  </si>
  <si>
    <t xml:space="preserve">Knocking a player places a wind trap, causing anyone to pick up that body to get sent flying. Gain a speed boost…</t>
  </si>
  <si>
    <t xml:space="preserve">Galebreathe Unbounded</t>
  </si>
  <si>
    <t xml:space="preserve">WND 75 · after Master Galebreather · with prerequisites: WND 75 (Master Galebreather, Expert Galebreather, Adept Galebreather, Galebreather)</t>
  </si>
  <si>
    <t xml:space="preserve">You have gained the ability to surpass your limits and train your Galebreathe to its fullest.</t>
  </si>
  <si>
    <t xml:space="preserve">WND 1</t>
  </si>
  <si>
    <t xml:space="preserve">Grants you the ability to command wind as a Galebreather.</t>
  </si>
  <si>
    <t xml:space="preserve">Gathering Electricity</t>
  </si>
  <si>
    <t xml:space="preserve">Thunderblade</t>
  </si>
  <si>
    <t xml:space="preserve">LTN 65 · (STR 25 or AGL 25) · after Static Blade · with prerequisites: LTN 65 · STR 25 · MED 20 (Static Blade)</t>
  </si>
  <si>
    <t xml:space="preserve">LTN 65 · STR 25 · MED 20</t>
  </si>
  <si>
    <t xml:space="preserve">Reaching 5 Static Blade charges will now consume the stacks and apply a lightning buff to your blade. 60 second cooldown.</t>
  </si>
  <si>
    <t xml:space="preserve">Ghost</t>
  </si>
  <si>
    <t xml:space="preserve">AGL 40 · after Swift Rebound, Evasive Expert, Risky Moves · with prerequisites: AGL 40 (Swift Rebound, Evasive Expert, Risky Moves)</t>
  </si>
  <si>
    <t xml:space="preserve">AGL 40</t>
  </si>
  <si>
    <t xml:space="preserve">Dodging a move will briefly make you invisible, ending early if you attack.</t>
  </si>
  <si>
    <t xml:space="preserve">Gilded Path: Scrapsinger</t>
  </si>
  <si>
    <t xml:space="preserve">IRN 35</t>
  </si>
  <si>
    <t xml:space="preserve">Flourishing an enemy consumes any rods they have and siphons their armor to you per rod.</t>
  </si>
  <si>
    <t xml:space="preserve">Give and Take</t>
  </si>
  <si>
    <t xml:space="preserve">CHA 35</t>
  </si>
  <si>
    <t xml:space="preserve">Vow of Mastery (1.2), Impervious Slumber (0.864)</t>
  </si>
  <si>
    <t xml:space="preserve">Deal less damage to comrades and receive less damage from comrades.</t>
  </si>
  <si>
    <t xml:space="preserve">Glacial Coasting</t>
  </si>
  <si>
    <t xml:space="preserve">Frostthorn</t>
  </si>
  <si>
    <t xml:space="preserve">AGL 25 · ICE 50 · after Orbital Ice · with prerequisites: AGL 25 · ICE 65 (Orbital Ice)</t>
  </si>
  <si>
    <t xml:space="preserve">AGL 25 · ICE 65</t>
  </si>
  <si>
    <t xml:space="preserve">Sliding while Orbital Ice is active leaves trails of ice.</t>
  </si>
  <si>
    <t xml:space="preserve">Glacial Mobility</t>
  </si>
  <si>
    <t xml:space="preserve">Frost Forger</t>
  </si>
  <si>
    <t xml:space="preserve">ICE 20 · AGL 20 · mantra Ice Blade · with prerequisites: ICE 20 · AGL 20 (Ice Blade)</t>
  </si>
  <si>
    <t xml:space="preserve">ICE 20 · AGL 20</t>
  </si>
  <si>
    <t xml:space="preserve">Cast while slide-jumping to perform a running attack with your ice sabers.</t>
  </si>
  <si>
    <t xml:space="preserve">Glass Path: Crystallization</t>
  </si>
  <si>
    <t xml:space="preserve">Eruption Path: Lava Serpent (1.368)</t>
  </si>
  <si>
    <t xml:space="preserve">Unyielding Frost, Flashboil</t>
  </si>
  <si>
    <t xml:space="preserve">Your ice abilities no longer grant a slow effect or the ability to freeze and instead cause ice crystals to grow on…</t>
  </si>
  <si>
    <t xml:space="preserve">Going Nowhere</t>
  </si>
  <si>
    <t xml:space="preserve">Pursuer</t>
  </si>
  <si>
    <t xml:space="preserve">STR 25 · AGL 25</t>
  </si>
  <si>
    <t xml:space="preserve">When enemies dodge your attacks, their momentum is killed and they're briefly prevented from sprinting.</t>
  </si>
  <si>
    <t xml:space="preserve">Golden Age</t>
  </si>
  <si>
    <t xml:space="preserve">Crystalline Gold</t>
  </si>
  <si>
    <t xml:space="preserve">after Gilded Path: Scrapsinger, Glass Path: Crystallization, Surge Path: Unstable Capacitor · no stats of its own, but its prerequisites need IRN 35 · ICE 40 · LTN 40 (Gilded Path: Scrapsinger, Glass Path: Crystallization, Surge Path: Unstable Capacitor)</t>
  </si>
  <si>
    <t xml:space="preserve">IRN 35 · ICE 40 · LTN 40</t>
  </si>
  <si>
    <t xml:space="preserve">Your Iron Pull now detonates Crystals and overloads Surges.</t>
  </si>
  <si>
    <t xml:space="preserve">Golden Tongue</t>
  </si>
  <si>
    <t xml:space="preserve">Silvertongue</t>
  </si>
  <si>
    <t xml:space="preserve">Typing or using a gesture gives a random buff to you and those around you. (60 second cooldown)</t>
  </si>
  <si>
    <t xml:space="preserve">Gourmand</t>
  </si>
  <si>
    <t xml:space="preserve">Power 5</t>
  </si>
  <si>
    <t xml:space="preserve">Your hunger and thirst gain from eating is increased.</t>
  </si>
  <si>
    <t xml:space="preserve">Graceful Steps</t>
  </si>
  <si>
    <t xml:space="preserve">Power 8 · FLM 80 · after Dancing Steps · with prerequisites: FLM 80 (Dancing Steps)</t>
  </si>
  <si>
    <t xml:space="preserve">FLM 80</t>
  </si>
  <si>
    <t xml:space="preserve">Your dancing steps now gives a faster speed boost.</t>
  </si>
  <si>
    <t xml:space="preserve">Grand Feast</t>
  </si>
  <si>
    <t xml:space="preserve">after Carnivore · no stats of its own, but its prerequisites need STR 5 · WLL 5 (Carnivore)</t>
  </si>
  <si>
    <t xml:space="preserve">Regain tempo, ether, blood and health when gaining hunger from killing.</t>
  </si>
  <si>
    <t xml:space="preserve">Grand Skewer</t>
  </si>
  <si>
    <t xml:space="preserve">Javelin Lord</t>
  </si>
  <si>
    <t xml:space="preserve">LTN 60 · mantra Grand Javelin · with prerequisites: LTN 60 (Grand Javelin)</t>
  </si>
  <si>
    <t xml:space="preserve">Your Grand Javelin now carries opponents through the air.</t>
  </si>
  <si>
    <t xml:space="preserve">Grand Support</t>
  </si>
  <si>
    <t xml:space="preserve">Comrade</t>
  </si>
  <si>
    <t xml:space="preserve">FTD 40 · mantra Reinforce · with prerequisites: FTD 50 (Reinforce)</t>
  </si>
  <si>
    <t xml:space="preserve">FTD 50</t>
  </si>
  <si>
    <t xml:space="preserve">Impervious Slumber (1.9079999999999997), Grasp on Reality (1.4400000000000002)</t>
  </si>
  <si>
    <t xml:space="preserve">Everyone you buff with Reinforce is healed lightly. You're healed slightly if you heal others.</t>
  </si>
  <si>
    <t xml:space="preserve">Grasp on Reality</t>
  </si>
  <si>
    <t xml:space="preserve">Sturdy Resolve</t>
  </si>
  <si>
    <t xml:space="preserve">FTD 25 · WLL 5</t>
  </si>
  <si>
    <t xml:space="preserve">Lose Your Mind (1.944), Impervious Slumber (0.948), Grand Support (1.4400000000000002), Concussive Force (1.428), Speed Emission (1.0679999999999998), Brazen Blow (0.996), Hungry Flames (1.188)</t>
  </si>
  <si>
    <t xml:space="preserve">Damage taken from insanity is reduced.</t>
  </si>
  <si>
    <t xml:space="preserve">Grounding Bolt</t>
  </si>
  <si>
    <t xml:space="preserve">Shock Therapy</t>
  </si>
  <si>
    <t xml:space="preserve">LTN 90 · any weapon 90</t>
  </si>
  <si>
    <t xml:space="preserve">LTN 90 · HVY 90</t>
  </si>
  <si>
    <t xml:space="preserve">Fulgurite Formation (2), Scorched Peak (2), Bear Trap (2)</t>
  </si>
  <si>
    <t xml:space="preserve">Anytime you summon a lightning strike on your oppponent, disable their ability to jump. Uppercutting your opponent…</t>
  </si>
  <si>
    <t xml:space="preserve">Gruesome Harvest</t>
  </si>
  <si>
    <t xml:space="preserve">Septicemia</t>
  </si>
  <si>
    <t xml:space="preserve">BLD 85</t>
  </si>
  <si>
    <t xml:space="preserve">Landing Bloodrend mantras on opponents with over 70% blood poison will give you slight temporary health.</t>
  </si>
  <si>
    <t xml:space="preserve">Guilt Trip</t>
  </si>
  <si>
    <t xml:space="preserve">CHA 100</t>
  </si>
  <si>
    <t xml:space="preserve">Gunpowder Blast</t>
  </si>
  <si>
    <t xml:space="preserve">LHT 45</t>
  </si>
  <si>
    <t xml:space="preserve">Pistol shots without bullets do 2 extra posture. [Dual Guns]</t>
  </si>
  <si>
    <t xml:space="preserve">Hair Product</t>
  </si>
  <si>
    <t xml:space="preserve">What's in these things?</t>
  </si>
  <si>
    <t xml:space="preserve">Hair Spray</t>
  </si>
  <si>
    <t xml:space="preserve">Apply your Hair Products.</t>
  </si>
  <si>
    <t xml:space="preserve">Hammerfall</t>
  </si>
  <si>
    <t xml:space="preserve">[Clubs] Aerial attacks do 25% more posture damage when blocked.</t>
  </si>
  <si>
    <t xml:space="preserve">Hard Read</t>
  </si>
  <si>
    <t xml:space="preserve">INT 20</t>
  </si>
  <si>
    <t xml:space="preserve">Speed Emission (1.3559999999999999)</t>
  </si>
  <si>
    <t xml:space="preserve">Hitting your opponent during a feint will cause them to be Dazed for 3s.</t>
  </si>
  <si>
    <t xml:space="preserve">Hard Stop</t>
  </si>
  <si>
    <t xml:space="preserve">after Bodkin Arrow · no stats of its own, but its prerequisites need STR 55 (Bodkin Arrow)</t>
  </si>
  <si>
    <t xml:space="preserve">Landing a charged shot will knock your opponent back.</t>
  </si>
  <si>
    <t xml:space="preserve">Harvester</t>
  </si>
  <si>
    <t xml:space="preserve">Chance to receive two sets of ingredients when harvesting.</t>
  </si>
  <si>
    <t xml:space="preserve">Haunted Gale</t>
  </si>
  <si>
    <t xml:space="preserve">Whisper</t>
  </si>
  <si>
    <t xml:space="preserve">Power 8 · WND 40</t>
  </si>
  <si>
    <t xml:space="preserve">Landing 3 Galebreathe Mantras without whiffing calls forth a Haunted Phantom. The Phantom will attack alongside you…</t>
  </si>
  <si>
    <t xml:space="preserve">Haunted Path: Specter</t>
  </si>
  <si>
    <t xml:space="preserve">WND 50 · after Haunted Gale · with prerequisites: WND 50 (Haunted Gale)</t>
  </si>
  <si>
    <t xml:space="preserve">Build up spectral energy by performing successful dodges and landing Wind mantras. Your abilities no longer suffocate…</t>
  </si>
  <si>
    <t xml:space="preserve">Heart Reverb</t>
  </si>
  <si>
    <t xml:space="preserve">Those picked up by your Rhythm are marked for 8 seconds. Whenever an opponent dodges your attack, detect their rhythm…</t>
  </si>
  <si>
    <t xml:space="preserve">Heavy Cannonball</t>
  </si>
  <si>
    <t xml:space="preserve">Big Bertha</t>
  </si>
  <si>
    <t xml:space="preserve">HVY 60</t>
  </si>
  <si>
    <t xml:space="preserve">Critical Engine (2)</t>
  </si>
  <si>
    <t xml:space="preserve">Heavy Fatigue</t>
  </si>
  <si>
    <t xml:space="preserve">HVY 40</t>
  </si>
  <si>
    <t xml:space="preserve">Impervious Slumber (1.008)</t>
  </si>
  <si>
    <t xml:space="preserve">[Greataxes] Hitting an enemy slowed by your Greataxe temporarily reduces how far they can roll and applies Sluggish to…</t>
  </si>
  <si>
    <t xml:space="preserve">Heavy Haul</t>
  </si>
  <si>
    <t xml:space="preserve">Enemies who carry you move significantly slower. Take slightly less posture damage from large enemies. Takes one to know one.</t>
  </si>
  <si>
    <t xml:space="preserve">Heavy Hitter</t>
  </si>
  <si>
    <t xml:space="preserve">HVY 25 · STR 15</t>
  </si>
  <si>
    <t xml:space="preserve">[Heavy Weapons] Your posture damage is increased by 5%.</t>
  </si>
  <si>
    <t xml:space="preserve">Heavy Shoulders</t>
  </si>
  <si>
    <t xml:space="preserve">IRN 55</t>
  </si>
  <si>
    <t xml:space="preserve">Ether Absorption (1.1039999999999999)</t>
  </si>
  <si>
    <t xml:space="preserve">If your opponent has 3 or more rods, their dodges are slower.</t>
  </si>
  <si>
    <t xml:space="preserve">Heavy Weapons Unbounded</t>
  </si>
  <si>
    <t xml:space="preserve">HVY 75</t>
  </si>
  <si>
    <t xml:space="preserve">You have gained the ability to surpass your limits and train your Heavy Weapons attribute to its fullest.</t>
  </si>
  <si>
    <t xml:space="preserve">Hell's Partisan</t>
  </si>
  <si>
    <t xml:space="preserve">FLM 35 · (Warding Radiance)</t>
  </si>
  <si>
    <t xml:space="preserve">Warding Radiance (2)</t>
  </si>
  <si>
    <t xml:space="preserve">After landing a flame dagger on an opponent, your next hit against them will impale with a divine spear from above.</t>
  </si>
  <si>
    <t xml:space="preserve">Hemolysis</t>
  </si>
  <si>
    <t xml:space="preserve">BLD 40 · STR 25</t>
  </si>
  <si>
    <t xml:space="preserve">Deal 20% more critical attack damage to opponents with over 25% blood poisoning.</t>
  </si>
  <si>
    <t xml:space="preserve">Hemolytic Transfusion</t>
  </si>
  <si>
    <t xml:space="preserve">Guardbreaking an enemy with a Bloodrend mantra increases the amount of blood poison from the attack.</t>
  </si>
  <si>
    <t xml:space="preserve">Hemorrhaging Blow</t>
  </si>
  <si>
    <t xml:space="preserve">BLD 95 · after Master Bloodrender · with prerequisites: BLD 95 (Master Bloodrender, Expert Bloodrender, Adept Bloodrender, Bloodrender)</t>
  </si>
  <si>
    <t xml:space="preserve">BLD 95</t>
  </si>
  <si>
    <t xml:space="preserve">Block breaking your opponent with a blood mantra turns your opponent's combat healing into damage for 8 seconds.</t>
  </si>
  <si>
    <t xml:space="preserve">Heretic's Sutra</t>
  </si>
  <si>
    <t xml:space="preserve">A chant that steers you into the state of Insanity for 20 seconds.</t>
  </si>
  <si>
    <t xml:space="preserve">Hero's Assist</t>
  </si>
  <si>
    <t xml:space="preserve">Hidden Tendril</t>
  </si>
  <si>
    <t xml:space="preserve">Contractor</t>
  </si>
  <si>
    <t xml:space="preserve">after Oath: Contractor</t>
  </si>
  <si>
    <t xml:space="preserve">Landing any physical mantra places a Hidden Tendril on the opponent.</t>
  </si>
  <si>
    <t xml:space="preserve">LHT 25 · (MED 50 or HVY 50)</t>
  </si>
  <si>
    <t xml:space="preserve">LHT 25 · MED 50</t>
  </si>
  <si>
    <t xml:space="preserve">When wielded with a Medium/Heavy weapon, your side gun can now fire a bullet projectile.</t>
  </si>
  <si>
    <t xml:space="preserve">Hook, Line, and Sinker</t>
  </si>
  <si>
    <t xml:space="preserve">Once something's caught your line, it's much harder to get loose.</t>
  </si>
  <si>
    <t xml:space="preserve">Hoplite</t>
  </si>
  <si>
    <t xml:space="preserve">FTD 15</t>
  </si>
  <si>
    <t xml:space="preserve">Posture damage is reduced by 15% when wielding a spear and standing still.</t>
  </si>
  <si>
    <t xml:space="preserve">Hot Potato</t>
  </si>
  <si>
    <t xml:space="preserve">after Family Recipe</t>
  </si>
  <si>
    <t xml:space="preserve">Gain a large boost of speed after throwing a bomb. Your bombs have a chance to detonate twice.</t>
  </si>
  <si>
    <t xml:space="preserve">Human Battery</t>
  </si>
  <si>
    <t xml:space="preserve">Battery Sapper (2)</t>
  </si>
  <si>
    <t xml:space="preserve">When you are out of Ether, convert the Surge stacks of nearby enemies into Ether to pay the cost of your Mantras.</t>
  </si>
  <si>
    <t xml:space="preserve">Hungry Flames</t>
  </si>
  <si>
    <t xml:space="preserve">Pyromancer</t>
  </si>
  <si>
    <t xml:space="preserve">FLM 30 · FTD 15</t>
  </si>
  <si>
    <t xml:space="preserve">Grasp on Reality (1.188)</t>
  </si>
  <si>
    <t xml:space="preserve">When you have no Ether, consume Stomach and Water to instantly cast your next fire mantra [15 second CD].</t>
  </si>
  <si>
    <t xml:space="preserve">Hypovolemic Focus</t>
  </si>
  <si>
    <t xml:space="preserve">While you have temporary health, your opponent regains far less posture from parrying you.</t>
  </si>
  <si>
    <t xml:space="preserve">Ichor Imbuement</t>
  </si>
  <si>
    <t xml:space="preserve">Using a Starkindred mantra while your wings are not out increases the damage they deal by 2 times.</t>
  </si>
  <si>
    <t xml:space="preserve">Immolation</t>
  </si>
  <si>
    <t xml:space="preserve">FLM 40 · after Agitating Spark · with prerequisites: FLM 40 (Agitating Spark)</t>
  </si>
  <si>
    <t xml:space="preserve">Flame Within (2), Eruption Path: Lava Serpent (2)</t>
  </si>
  <si>
    <t xml:space="preserve">Fire spells cost 70% less while on fire. If you hit someone while on fire, apply fire damage. You take 50% less damage…</t>
  </si>
  <si>
    <t xml:space="preserve">Impairing Blow</t>
  </si>
  <si>
    <t xml:space="preserve">Knight's Rally (0.9119999999999999), Turtle Shell (0.9359999999999999)</t>
  </si>
  <si>
    <t xml:space="preserve">[Greataxes] Basic Attacks will slightly slow your enemy for 2 seconds. Running attacks will slow your enemy for 3…</t>
  </si>
  <si>
    <t xml:space="preserve">Imperium Kata</t>
  </si>
  <si>
    <t xml:space="preserve">Gale Kata</t>
  </si>
  <si>
    <t xml:space="preserve">Wield an advanced form of the Legion's martial arts.</t>
  </si>
  <si>
    <t xml:space="preserve">Impervious Slumber</t>
  </si>
  <si>
    <t xml:space="preserve">Meditative Trance</t>
  </si>
  <si>
    <t xml:space="preserve">FTD 35</t>
  </si>
  <si>
    <t xml:space="preserve">Lose Your Mind (1.4640000000000002), Strong Stern (1.224), Grand Support (1.9079999999999997), Grasp on Reality (0.948), Concussion (0.864), Mythic Stability (1.0679999999999998), Lowstride (1.2119999999999997), Brassneck (0.8999999999999999), Heavy Fatigue (1.008), Give and Take (0.864)</t>
  </si>
  <si>
    <t xml:space="preserve">Getting hit while Unconscious no longer resets your time Unconscious.</t>
  </si>
  <si>
    <t xml:space="preserve">In a Hurry</t>
  </si>
  <si>
    <t xml:space="preserve">AGL 30</t>
  </si>
  <si>
    <t xml:space="preserve">You grip faster with a movement speed boost.</t>
  </si>
  <si>
    <t xml:space="preserve">Incendiary Formula</t>
  </si>
  <si>
    <t xml:space="preserve">Bombs will set your enemies on fire upon detonation, as well as launch with more force. Bombs will deal 20% increased…</t>
  </si>
  <si>
    <t xml:space="preserve">Inhale</t>
  </si>
  <si>
    <t xml:space="preserve">WND 60</t>
  </si>
  <si>
    <t xml:space="preserve">After Cut (2)</t>
  </si>
  <si>
    <t xml:space="preserve">Canceling a Wind Mantra stores it for 5 seconds, empowering the next Wind Mantra cast in that time. [7 sec CD, gets…</t>
  </si>
  <si>
    <t xml:space="preserve">Intelligence Unbounded</t>
  </si>
  <si>
    <t xml:space="preserve">INT 75</t>
  </si>
  <si>
    <t xml:space="preserve">You have gained the ability to surpass your limits and train your Intelligence to its fullest.</t>
  </si>
  <si>
    <t xml:space="preserve">Intuitive Repairs</t>
  </si>
  <si>
    <t xml:space="preserve">Metallurgist</t>
  </si>
  <si>
    <t xml:space="preserve">IRN 25 · mantra Iron Skin · with prerequisites: IRN 25 (Iron Skin)</t>
  </si>
  <si>
    <t xml:space="preserve">IRN 25</t>
  </si>
  <si>
    <t xml:space="preserve">Your 'Iron Skin' repairs armor while it's active.</t>
  </si>
  <si>
    <t xml:space="preserve">Iron Gut</t>
  </si>
  <si>
    <t xml:space="preserve">Survival Instinct</t>
  </si>
  <si>
    <t xml:space="preserve">(FTD 20 or WLL 20)</t>
  </si>
  <si>
    <t xml:space="preserve">You have resistance against being poisoned by foods.</t>
  </si>
  <si>
    <t xml:space="preserve">Ironclad Punishment</t>
  </si>
  <si>
    <t xml:space="preserve">Ironsing Unbounded</t>
  </si>
  <si>
    <t xml:space="preserve">IRN 75 · after Master Ironsinger · with prerequisites: IRN 75 (Master Ironsinger, Expert Ironsinger, Adept Ironsinger, Ironsinger)</t>
  </si>
  <si>
    <t xml:space="preserve">You have gained the ability to surpass your limits and train your Ironsing to its fullest.</t>
  </si>
  <si>
    <t xml:space="preserve">IRN 1</t>
  </si>
  <si>
    <t xml:space="preserve">Grants you the ability to command Metal as an Ironsinger. Press X to Pull on Metal Rods.</t>
  </si>
  <si>
    <t xml:space="preserve">Jetstream Pursuit</t>
  </si>
  <si>
    <t xml:space="preserve">Upon a successful flourish, teleport to the opponent when they stop moving. Receive a significant boost of momentum.</t>
  </si>
  <si>
    <t xml:space="preserve">Jolting Current</t>
  </si>
  <si>
    <t xml:space="preserve">Rampant Static</t>
  </si>
  <si>
    <t xml:space="preserve">Your lightning attacks in water strike others near them with lightning.</t>
  </si>
  <si>
    <t xml:space="preserve">Juicy Snack</t>
  </si>
  <si>
    <t xml:space="preserve">BLD 60 · FTD 20</t>
  </si>
  <si>
    <t xml:space="preserve">Eliminating enemies returns their amount of blood poison as health to you.</t>
  </si>
  <si>
    <t xml:space="preserve">Jumper Cables</t>
  </si>
  <si>
    <t xml:space="preserve">Static Weaver</t>
  </si>
  <si>
    <t xml:space="preserve">LTN 40 · FTD 20 · after Static Link · with prerequisites: LTN 40 · FTD 20 · INT 15 (Static Link)</t>
  </si>
  <si>
    <t xml:space="preserve">LTN 40 · FTD 20 · INT 15</t>
  </si>
  <si>
    <t xml:space="preserve">Being made Unconscious with an active tether allows you to steal health from a tethered target and not be made…</t>
  </si>
  <si>
    <t xml:space="preserve">Jus Karita</t>
  </si>
  <si>
    <t xml:space="preserve">(Power 5 · LHT 40)</t>
  </si>
  <si>
    <t xml:space="preserve">Adopt the kick-based fighting style of the Justicars.</t>
  </si>
  <si>
    <t xml:space="preserve">Justicar's Prowess</t>
  </si>
  <si>
    <t xml:space="preserve">after Jus Karita · no stats of its own, but its prerequisites need LHT 40 (Jus Karita)</t>
  </si>
  <si>
    <t xml:space="preserve">Jus Karita gains +30% posture damage against other fist styles.</t>
  </si>
  <si>
    <t xml:space="preserve">Justicar's Renewal</t>
  </si>
  <si>
    <t xml:space="preserve">Hitting an opponent with your Jus Karita critical resets the cooldown.</t>
  </si>
  <si>
    <t xml:space="preserve">Keen Recovery</t>
  </si>
  <si>
    <t xml:space="preserve">INT 55</t>
  </si>
  <si>
    <t xml:space="preserve">Landing a basic attack after feinting a mantra will restore the feinted mantra's ether cost.</t>
  </si>
  <si>
    <t xml:space="preserve">Kick Off</t>
  </si>
  <si>
    <t xml:space="preserve">Acrobat</t>
  </si>
  <si>
    <t xml:space="preserve">You easily brush off shorter falls, taking no damage. Your first wall jump will always send you higher than normal. Gain a speed boost after wall jumping over a wall.</t>
  </si>
  <si>
    <t xml:space="preserve">Kickstart</t>
  </si>
  <si>
    <t xml:space="preserve">Kickstarter</t>
  </si>
  <si>
    <t xml:space="preserve">LTN 50 · (FTD 40 or CHA 40)</t>
  </si>
  <si>
    <t xml:space="preserve">LTN 50 · FTD 40</t>
  </si>
  <si>
    <t xml:space="preserve">Cap Artist (2)</t>
  </si>
  <si>
    <t xml:space="preserve">Use your lightning to defibrillate your allies on the battlefield.</t>
  </si>
  <si>
    <t xml:space="preserve">Kj's Courage</t>
  </si>
  <si>
    <t xml:space="preserve">Gain 10% more Knowledge from all sources, rounded down.</t>
  </si>
  <si>
    <t xml:space="preserve">Knife's Journey</t>
  </si>
  <si>
    <t xml:space="preserve">[Dagger] Cancelling an enemy's Mantra windup with your Basic Attacks now deals 15% more damage.</t>
  </si>
  <si>
    <t xml:space="preserve">Knight's Rally</t>
  </si>
  <si>
    <t xml:space="preserve">Shieldmaster</t>
  </si>
  <si>
    <t xml:space="preserve">FTD 30 · WLL 10</t>
  </si>
  <si>
    <t xml:space="preserve">Brazen Blow (1.008), Impairing Blow (0.9119999999999999)</t>
  </si>
  <si>
    <t xml:space="preserve">When using a shield, you ready your block more quickly after taking a hit.</t>
  </si>
  <si>
    <t xml:space="preserve">Knuckle Guard</t>
  </si>
  <si>
    <t xml:space="preserve">FTD 55 · STR 25</t>
  </si>
  <si>
    <t xml:space="preserve">Hitting Dazed enemies grants you 10% posture resistance for 15s.</t>
  </si>
  <si>
    <t xml:space="preserve">Laced Traps</t>
  </si>
  <si>
    <t xml:space="preserve">IRN 45 · mantra Caltrops · with prerequisites: IRN 45 (Caltrops)</t>
  </si>
  <si>
    <t xml:space="preserve">People hit by your 'Caltrops' cannot jump and are slowed for a small duration, while also applying Sluggish to PvE…</t>
  </si>
  <si>
    <t xml:space="preserve">Lancer's Impale</t>
  </si>
  <si>
    <t xml:space="preserve">[Spears] Hitting an enemy after a perfect dodge makes your next attack deal bleed damage. If that attack would already…</t>
  </si>
  <si>
    <t xml:space="preserve">Landshark</t>
  </si>
  <si>
    <t xml:space="preserve">Killing a Megalodaunt will grant lifesteal on your attacks for 30 seconds.</t>
  </si>
  <si>
    <t xml:space="preserve">Last Resort</t>
  </si>
  <si>
    <t xml:space="preserve">WLL 35</t>
  </si>
  <si>
    <t xml:space="preserve">Deal +5% more damage when your health is below 25%.</t>
  </si>
  <si>
    <t xml:space="preserve">Lasting Charisma</t>
  </si>
  <si>
    <t xml:space="preserve">Enemies charmed by your mantras are charmed longer.</t>
  </si>
  <si>
    <t xml:space="preserve">Lasting Sorrow</t>
  </si>
  <si>
    <t xml:space="preserve">Fear the Dark (2)</t>
  </si>
  <si>
    <t xml:space="preserve">Shadows last longer on your opponent.</t>
  </si>
  <si>
    <t xml:space="preserve">Leg Shot</t>
  </si>
  <si>
    <t xml:space="preserve">Marksman</t>
  </si>
  <si>
    <t xml:space="preserve">MED 80</t>
  </si>
  <si>
    <t xml:space="preserve">[Rifles] Landing your critical slows your enemy for a bit while making PvE enemies Sluggish, and also disables any…</t>
  </si>
  <si>
    <t xml:space="preserve">Legion Kata</t>
  </si>
  <si>
    <t xml:space="preserve">Gain the ability to use the Legion's martial arts.</t>
  </si>
  <si>
    <t xml:space="preserve">Light Weapons Unbounded</t>
  </si>
  <si>
    <t xml:space="preserve">LHT 75</t>
  </si>
  <si>
    <t xml:space="preserve">You have gained the ability to surpass your limits and train your Light Weapons attribute to its fullest.</t>
  </si>
  <si>
    <t xml:space="preserve">Lights Out</t>
  </si>
  <si>
    <t xml:space="preserve">AGL 55</t>
  </si>
  <si>
    <t xml:space="preserve">Assassinations now give you 30% PEN and blind the target for 5s. Those you carry are now blindfolded.</t>
  </si>
  <si>
    <t xml:space="preserve">Lightspeed Reflexes</t>
  </si>
  <si>
    <t xml:space="preserve">AGL 20 · INT 20</t>
  </si>
  <si>
    <t xml:space="preserve">Fast Blade (2)</t>
  </si>
  <si>
    <t xml:space="preserve">When you parry an attack after feinting an attack, gain a 5s speed boost.</t>
  </si>
  <si>
    <t xml:space="preserve">Lightweight</t>
  </si>
  <si>
    <t xml:space="preserve">Move faster when your armor runs out of durability.</t>
  </si>
  <si>
    <t xml:space="preserve">Link Conduction</t>
  </si>
  <si>
    <t xml:space="preserve">LTN 65 · after Static Link · with prerequisites: LTN 65 · INT 15 (Static Link)</t>
  </si>
  <si>
    <t xml:space="preserve">LTN 65 · INT 15</t>
  </si>
  <si>
    <t xml:space="preserve">While you have active tethers your lightning mantras cost less ether.</t>
  </si>
  <si>
    <t xml:space="preserve">Lithe Step</t>
  </si>
  <si>
    <t xml:space="preserve">When Sprinting, roll-cancel and instantly vanish and surge with unmatched speed.</t>
  </si>
  <si>
    <t xml:space="preserve">Lock n Load</t>
  </si>
  <si>
    <t xml:space="preserve">Outlaw</t>
  </si>
  <si>
    <t xml:space="preserve">LHT 60</t>
  </si>
  <si>
    <t xml:space="preserve">[1H Guns] The first bullet in your gun does more damage when fully loaded. This damage buff scales with the number of…</t>
  </si>
  <si>
    <t xml:space="preserve">Lord's Tithe</t>
  </si>
  <si>
    <t xml:space="preserve">SDW 40 · FTD 40 · mantra Reinforce · with prerequisites: SDW 40 · FTD 50 (Reinforce)</t>
  </si>
  <si>
    <t xml:space="preserve">SDW 40 · FTD 50</t>
  </si>
  <si>
    <t xml:space="preserve">Everyone you Reinforce is drained of their Ether while Reinforced. Drain scales with your Shadowcast. Drain health…</t>
  </si>
  <si>
    <t xml:space="preserve">Lose Your Mind</t>
  </si>
  <si>
    <t xml:space="preserve">STR 30 · FTD 30</t>
  </si>
  <si>
    <t xml:space="preserve">Grasp on Reality (1.944), Impervious Slumber (1.4640000000000002), Brassneck (1.2359999999999998), Nullifying Clarity (1.0799999999999998), Speed Emission (1.164), Mythic Stability (1.044), Strong Stern (0.84), Concussive Force (1.2599999999999998), Ready or Not (0.972)</t>
  </si>
  <si>
    <t xml:space="preserve">Deal more damage the more insane you are. Grants +15% damage at maximum insanity.</t>
  </si>
  <si>
    <t xml:space="preserve">Lowstride</t>
  </si>
  <si>
    <t xml:space="preserve">Impervious Slumber (1.2119999999999997)</t>
  </si>
  <si>
    <t xml:space="preserve">When crouching, your stealth and roll distance are increased. Your speed while crouching is less slow. You now draw your weapon silently.</t>
  </si>
  <si>
    <t xml:space="preserve">Luminous Flash</t>
  </si>
  <si>
    <t xml:space="preserve">After dealing a certain amount of damage in Absolute Radiance, gain a chance to empower your strikes with pure light.</t>
  </si>
  <si>
    <t xml:space="preserve">Magical Resolve</t>
  </si>
  <si>
    <t xml:space="preserve">WLL 40 · after Battle Tendency · with prerequisites: WLL 40 · FTD 15 (Battle Tendency)</t>
  </si>
  <si>
    <t xml:space="preserve">WLL 40 · FTD 15</t>
  </si>
  <si>
    <t xml:space="preserve">Being hit increases Ether regen for a short duration, the strength of the regen scales off your Willpower.</t>
  </si>
  <si>
    <t xml:space="preserve">Maiming Claws</t>
  </si>
  <si>
    <t xml:space="preserve">AGL 100 · after Down Comes the Claw · with prerequisites: AGL 100 (Down Comes the Claw)</t>
  </si>
  <si>
    <t xml:space="preserve">Steady Nerves (2)</t>
  </si>
  <si>
    <t xml:space="preserve">Down Comes the Claw now disables your opponent's posture regeneration for 6s on proc.</t>
  </si>
  <si>
    <t xml:space="preserve">Malevolent Sapper</t>
  </si>
  <si>
    <t xml:space="preserve">BLD 40 · SDW 40</t>
  </si>
  <si>
    <t xml:space="preserve">The more blood poisoning your opponent has, the more ether your shadow mantras steal from your opponent.</t>
  </si>
  <si>
    <t xml:space="preserve">Manipulator</t>
  </si>
  <si>
    <t xml:space="preserve">CHA 60 · after Charismatic Cast · with prerequisites: CHA 60 (Charismatic Cast)</t>
  </si>
  <si>
    <t xml:space="preserve">CHA 60</t>
  </si>
  <si>
    <t xml:space="preserve">Unnecessary Theatrics (2)</t>
  </si>
  <si>
    <t xml:space="preserve">Deal 20% more critical attack damage to charmed enemies, but the effect is removed on impact.</t>
  </si>
  <si>
    <t xml:space="preserve">Mantra Permanence</t>
  </si>
  <si>
    <t xml:space="preserve">Martyr</t>
  </si>
  <si>
    <t xml:space="preserve">Power 3</t>
  </si>
  <si>
    <t xml:space="preserve">When you're knocked Unconscious, enemies gain less health and posture, and allies around you are granted Martyrdom for 20s.</t>
  </si>
  <si>
    <t xml:space="preserve">Master Bloodrender</t>
  </si>
  <si>
    <t xml:space="preserve">BLD 50 · after Expert Bloodrender · with prerequisites: BLD 50 (Expert Bloodrender, Adept Bloodrender, Bloodrender)</t>
  </si>
  <si>
    <t xml:space="preserve">BLD 50</t>
  </si>
  <si>
    <t xml:space="preserve">You can now obtain 3-star Bloodrender mantras. Your maximum blood capacity is 25% more than a normal individual. You…</t>
  </si>
  <si>
    <t xml:space="preserve">Master Chef</t>
  </si>
  <si>
    <t xml:space="preserve">Buffs applied by food you cook now have their buff effects amplified by +30%.</t>
  </si>
  <si>
    <t xml:space="preserve">Master Craftsman</t>
  </si>
  <si>
    <t xml:space="preserve">Artisan</t>
  </si>
  <si>
    <t xml:space="preserve">INT 45</t>
  </si>
  <si>
    <t xml:space="preserve">Your skills alone substitute the need for a Craft Station.</t>
  </si>
  <si>
    <t xml:space="preserve">Master Flamecharmer</t>
  </si>
  <si>
    <t xml:space="preserve">FLM 50 · after Expert Flamecharmer · with prerequisites: FLM 50 (Expert Flamecharmer, Adept Flamecharmer, Flamecharmer)</t>
  </si>
  <si>
    <t xml:space="preserve">You can now obtain 3-Star Leveled Flamecharmer Mantras.</t>
  </si>
  <si>
    <t xml:space="preserve">Master Frostdrawer</t>
  </si>
  <si>
    <t xml:space="preserve">ICE 50 · after Expert Frostdrawer · with prerequisites: ICE 50 (Expert Frostdrawer, Adept Frostdrawer, Frostdrawer)</t>
  </si>
  <si>
    <t xml:space="preserve">ICE 50</t>
  </si>
  <si>
    <t xml:space="preserve">You can now obtain 3-Star Leveled Frostdraw Mantras.</t>
  </si>
  <si>
    <t xml:space="preserve">Master Galebreather</t>
  </si>
  <si>
    <t xml:space="preserve">WND 50 · after Expert Galebreather · with prerequisites: WND 50 (Expert Galebreather, Adept Galebreather, Galebreather)</t>
  </si>
  <si>
    <t xml:space="preserve">You can now obtain 3-Star Leveled Galebreathe mantras.</t>
  </si>
  <si>
    <t xml:space="preserve">Master Ironsinger</t>
  </si>
  <si>
    <t xml:space="preserve">IRN 50 · after Expert Ironsinger · with prerequisites: IRN 50 (Expert Ironsinger, Adept Ironsinger, Ironsinger)</t>
  </si>
  <si>
    <t xml:space="preserve">IRN 50</t>
  </si>
  <si>
    <t xml:space="preserve">You can now obtain 3-star Ironsinger mantras.</t>
  </si>
  <si>
    <t xml:space="preserve">Master Shadowcaster</t>
  </si>
  <si>
    <t xml:space="preserve">SDW 50 · after Expert Shadowcaster · with prerequisites: SDW 50 (Expert Shadowcaster, Adept Shadowcaster, Shadowcaster)</t>
  </si>
  <si>
    <t xml:space="preserve">You can now obtain 3-star Leveled Shadowcaster Mantras.</t>
  </si>
  <si>
    <t xml:space="preserve">Master Thundercaller</t>
  </si>
  <si>
    <t xml:space="preserve">LTN 50 · after Expert Thundercaller · with prerequisites: LTN 50 (Expert Thundercaller, Adept Thundercaller, Thundercaller)</t>
  </si>
  <si>
    <t xml:space="preserve">You can now obtain 3-star Thundercaller mantras.</t>
  </si>
  <si>
    <t xml:space="preserve">Masterwork</t>
  </si>
  <si>
    <t xml:space="preserve">IRN 60 · after Artisan's Blade · with prerequisites: IRN 60 (Artisan's Blade, Gilded Path: Scrapsinger)</t>
  </si>
  <si>
    <t xml:space="preserve">Successful hits from Artisan's Blades will proc metal rods and deal 50% more damage.</t>
  </si>
  <si>
    <t xml:space="preserve">Matador</t>
  </si>
  <si>
    <t xml:space="preserve">STR 20 · AGL 5</t>
  </si>
  <si>
    <t xml:space="preserve">Spinning Swordsman (0.84), Speed Emission (0.972), Concussive Force (0.9119999999999999), Blood Thirsty (0.8039999999999999)</t>
  </si>
  <si>
    <t xml:space="preserve">Deal +20% more damage to human enemies with hyperarmor.</t>
  </si>
  <si>
    <t xml:space="preserve">Mayhem</t>
  </si>
  <si>
    <t xml:space="preserve">Initiate a special dash attack by pressing M1 during the start of your dodge.</t>
  </si>
  <si>
    <t xml:space="preserve">Medium Weapons Unbounded</t>
  </si>
  <si>
    <t xml:space="preserve">MED 75</t>
  </si>
  <si>
    <t xml:space="preserve">You have gained the ability to surpass your limits and train your Medium Weapons attribute to its fullest.</t>
  </si>
  <si>
    <t xml:space="preserve">Merciless Blade</t>
  </si>
  <si>
    <t xml:space="preserve">Metal Absorption</t>
  </si>
  <si>
    <t xml:space="preserve">IRN 30 · mantra Iron Hug · with prerequisites: IRN 50 (Iron Hug)</t>
  </si>
  <si>
    <t xml:space="preserve">Your 'Iron Hug' also absorbs armor from the enemy.</t>
  </si>
  <si>
    <t xml:space="preserve">Metal Eater</t>
  </si>
  <si>
    <t xml:space="preserve">When you have no ether, consume Armor durability to cast your Ironsing mantras.</t>
  </si>
  <si>
    <t xml:space="preserve">Metal Shackles</t>
  </si>
  <si>
    <t xml:space="preserve">IRN 40 · STR 15</t>
  </si>
  <si>
    <t xml:space="preserve">Guardbreaking an opponent prevents them from receiving speed boost for 5 seconds, while PvE opponents will be Sluggish…</t>
  </si>
  <si>
    <t xml:space="preserve">Metal Thief</t>
  </si>
  <si>
    <t xml:space="preserve">Pulling an opponent absorbs a portion of their current Armor durability.</t>
  </si>
  <si>
    <t xml:space="preserve">Meteor Impact</t>
  </si>
  <si>
    <t xml:space="preserve">Falling Star Guard</t>
  </si>
  <si>
    <t xml:space="preserve">Dark God (1.044)</t>
  </si>
  <si>
    <t xml:space="preserve">Aerial moves you land will follow up into a devastating slam. This is also possible when you yourself gets hit by an…</t>
  </si>
  <si>
    <t xml:space="preserve">Million Ton Piercer</t>
  </si>
  <si>
    <t xml:space="preserve">Rampaging Brute</t>
  </si>
  <si>
    <t xml:space="preserve">STR 90 · after Unwavering Resolve, Shield Breaker · with prerequisites: STR 90 (Unwavering Resolve, Shield Breaker)</t>
  </si>
  <si>
    <t xml:space="preserve">STR 90</t>
  </si>
  <si>
    <t xml:space="preserve">Berserk (2)</t>
  </si>
  <si>
    <t xml:space="preserve">Mirage Clone</t>
  </si>
  <si>
    <t xml:space="preserve">FLM 65</t>
  </si>
  <si>
    <t xml:space="preserve">Successfully dodging leaves behind a heat mirage clone that sets enemies that swung at you on fire.</t>
  </si>
  <si>
    <t xml:space="preserve">Mortar Mystery</t>
  </si>
  <si>
    <t xml:space="preserve">HVY 100</t>
  </si>
  <si>
    <t xml:space="preserve">Moths to a Flame</t>
  </si>
  <si>
    <t xml:space="preserve">Your Twister Puppets now home towards burning enemies.</t>
  </si>
  <si>
    <t xml:space="preserve">Moving Fortress</t>
  </si>
  <si>
    <t xml:space="preserve">FTD 5</t>
  </si>
  <si>
    <t xml:space="preserve">Blocking no longer slows you down as much.</t>
  </si>
  <si>
    <t xml:space="preserve">Muffled Screams</t>
  </si>
  <si>
    <t xml:space="preserve">AGL 50</t>
  </si>
  <si>
    <t xml:space="preserve">Execution (2), Stay of Execution (2)</t>
  </si>
  <si>
    <t xml:space="preserve">You quieten the cries of help of those you execute, reducing the distance at which their allies will hear it and come…</t>
  </si>
  <si>
    <t xml:space="preserve">Mythic Stability</t>
  </si>
  <si>
    <t xml:space="preserve">FTD 85</t>
  </si>
  <si>
    <t xml:space="preserve">Brassneck (1.344), Impervious Slumber (1.0679999999999998), Lose Your Mind (1.044)</t>
  </si>
  <si>
    <t xml:space="preserve">Nanji's Training</t>
  </si>
  <si>
    <t xml:space="preserve">Nanji shows you a better way to properly block attacks using a weapon, granting you 1 Posture.</t>
  </si>
  <si>
    <t xml:space="preserve">Narcissist</t>
  </si>
  <si>
    <t xml:space="preserve">Disbelief (2)</t>
  </si>
  <si>
    <t xml:space="preserve">Charming an already Charmed opponent Overcharms you briefly. Guess you really were always that great.</t>
  </si>
  <si>
    <t xml:space="preserve">Needleblade</t>
  </si>
  <si>
    <t xml:space="preserve">any weapon 90 · IRN 90</t>
  </si>
  <si>
    <t xml:space="preserve">HVY 90 · IRN 90</t>
  </si>
  <si>
    <t xml:space="preserve">Neural Overload</t>
  </si>
  <si>
    <t xml:space="preserve">INT 85</t>
  </si>
  <si>
    <t xml:space="preserve">You can input up to 4 copies of each Mantra ingredient instead of being limited to 3.</t>
  </si>
  <si>
    <t xml:space="preserve">Neuroplasticity</t>
  </si>
  <si>
    <t xml:space="preserve">Genius Intellect</t>
  </si>
  <si>
    <t xml:space="preserve">Mind 35</t>
  </si>
  <si>
    <t xml:space="preserve">INT 35</t>
  </si>
  <si>
    <t xml:space="preserve">Your mind is a pliable, flexible substance. The Ether cost of additional modifications to your Mantras is now reduced…</t>
  </si>
  <si>
    <t xml:space="preserve">Night Terror</t>
  </si>
  <si>
    <t xml:space="preserve">any weapon 100 · SDW 100 · after Fear the Dark · with prerequisites: HVY 100 · SDW 100 (Fear the Dark)</t>
  </si>
  <si>
    <t xml:space="preserve">HVY 100 · SDW 100</t>
  </si>
  <si>
    <t xml:space="preserve">Your light attacks now proc Fear the Dark.</t>
  </si>
  <si>
    <t xml:space="preserve">No Survivors</t>
  </si>
  <si>
    <t xml:space="preserve">CHA 80 · STR 45</t>
  </si>
  <si>
    <t xml:space="preserve">Your allies and yourself execute faster when affected by Overcharm.</t>
  </si>
  <si>
    <t xml:space="preserve">None Left Behind</t>
  </si>
  <si>
    <t xml:space="preserve">AGL 100 · after Dustlunge · with prerequisites: AGL 100 (Dustlunge, Lowstride, Unseen Threat, Deep Wound, Lights Out)</t>
  </si>
  <si>
    <t xml:space="preserve">You can now shadestep to pick up Unconscious humanoids far away from you.</t>
  </si>
  <si>
    <t xml:space="preserve">Not a Scratch</t>
  </si>
  <si>
    <t xml:space="preserve">WLL 100 · FTD 20</t>
  </si>
  <si>
    <t xml:space="preserve">You don't show any signs of damage.</t>
  </si>
  <si>
    <t xml:space="preserve">Nullifying Clarity</t>
  </si>
  <si>
    <t xml:space="preserve">STR 15 · INT 5</t>
  </si>
  <si>
    <t xml:space="preserve">Flame Within (3), Lose Your Mind (1.0799999999999998), Successive Prediction (0.8999999999999999)</t>
  </si>
  <si>
    <t xml:space="preserve">Deal 10% more damage to enemies with elemental status effects, but remove the status on hit.</t>
  </si>
  <si>
    <t xml:space="preserve">Oath: Arcwarder</t>
  </si>
  <si>
    <t xml:space="preserve">FTD 20 · FLM 20 · LTN 20</t>
  </si>
  <si>
    <t xml:space="preserve">Oath: Bladeharper</t>
  </si>
  <si>
    <t xml:space="preserve">(AGL 25 or STR 25 or MED 75) · 90 combined weapon</t>
  </si>
  <si>
    <t xml:space="preserve">90 combined weapon · AGL 25</t>
  </si>
  <si>
    <t xml:space="preserve">Oath: Blightsurger</t>
  </si>
  <si>
    <t xml:space="preserve">80 combined STR+FTD+AGL · 40 combined WND+LTN</t>
  </si>
  <si>
    <t xml:space="preserve">Oath: Blindseer</t>
  </si>
  <si>
    <t xml:space="preserve">WLL 40 · after Breathing Exercise, Conquer your Fears, Disbelief · with prerequisites: WLL 40 (Breathing Exercise, Conquer your Fears, Disbelief)</t>
  </si>
  <si>
    <t xml:space="preserve">WLL 40</t>
  </si>
  <si>
    <t xml:space="preserve">Oath: Chainwarden</t>
  </si>
  <si>
    <t xml:space="preserve">40 combined STR+FTD+WLL</t>
  </si>
  <si>
    <t xml:space="preserve">Oath: Contractor</t>
  </si>
  <si>
    <t xml:space="preserve">Oath: Dawnwalker</t>
  </si>
  <si>
    <t xml:space="preserve">Power 10</t>
  </si>
  <si>
    <t xml:space="preserve">Oath: Fadetrimmer</t>
  </si>
  <si>
    <t xml:space="preserve">Power 12</t>
  </si>
  <si>
    <t xml:space="preserve">Oath: Jetstriker</t>
  </si>
  <si>
    <t xml:space="preserve">Oath: Linkstrider</t>
  </si>
  <si>
    <t xml:space="preserve">Oath: Oathless</t>
  </si>
  <si>
    <t xml:space="preserve">Oathless</t>
  </si>
  <si>
    <t xml:space="preserve">Oath: Saintsworn</t>
  </si>
  <si>
    <t xml:space="preserve">FLM 15 · ICE 15 · WND 15 · LTN 15 · SDW 15</t>
  </si>
  <si>
    <t xml:space="preserve">Oath: Saltchemist</t>
  </si>
  <si>
    <t xml:space="preserve">Oath: Silentheart</t>
  </si>
  <si>
    <t xml:space="preserve">STR 25 · (AGL 25 or CHA 25) · 75 combined weapon</t>
  </si>
  <si>
    <t xml:space="preserve">75 combined weapon · STR 25 · AGL 25</t>
  </si>
  <si>
    <t xml:space="preserve">Oath: Soulbreaker</t>
  </si>
  <si>
    <t xml:space="preserve">50 combined WLL+CHA</t>
  </si>
  <si>
    <t xml:space="preserve">Oath: Starkindred</t>
  </si>
  <si>
    <t xml:space="preserve">STR 40</t>
  </si>
  <si>
    <t xml:space="preserve">Oath: Visionshaper</t>
  </si>
  <si>
    <t xml:space="preserve">CHA 50</t>
  </si>
  <si>
    <t xml:space="preserve">Observation</t>
  </si>
  <si>
    <t xml:space="preserve">Leaf in the Wind</t>
  </si>
  <si>
    <t xml:space="preserve">Risky Moves</t>
  </si>
  <si>
    <t xml:space="preserve">Dodge frames are larger if you cancel your roll immediately.</t>
  </si>
  <si>
    <t xml:space="preserve">Off Your Game</t>
  </si>
  <si>
    <t xml:space="preserve">CHA 90 · mantra Taunt · with prerequisites: CHA 90 (Taunt)</t>
  </si>
  <si>
    <t xml:space="preserve">You now slow Taunted enemies when you hit them.</t>
  </si>
  <si>
    <t xml:space="preserve">Oh The Irony</t>
  </si>
  <si>
    <t xml:space="preserve">IRN 60 · CHA 40 · mantra Taunt · with prerequisites: IRN 60 · CHA 40 (Taunt)</t>
  </si>
  <si>
    <t xml:space="preserve">IRN 60 · CHA 40</t>
  </si>
  <si>
    <t xml:space="preserve">Old Habits Die Hard</t>
  </si>
  <si>
    <t xml:space="preserve">Marauder</t>
  </si>
  <si>
    <t xml:space="preserve">WLL 20</t>
  </si>
  <si>
    <t xml:space="preserve">Blocking an attack with your lingering block frames after failing a parry will cause the attack to deal 15% less…</t>
  </si>
  <si>
    <t xml:space="preserve">Open Wound</t>
  </si>
  <si>
    <t xml:space="preserve">BLD 40</t>
  </si>
  <si>
    <t xml:space="preserve">Guardbreaking enemies leaves enemies more susceptible to blood loss from Bloodrend mantras.</t>
  </si>
  <si>
    <t xml:space="preserve">ICE 65</t>
  </si>
  <si>
    <t xml:space="preserve">When landing a parry while standing on ice, form a ring of ice that grants 15% Physical Resistance.</t>
  </si>
  <si>
    <t xml:space="preserve">Overcharge</t>
  </si>
  <si>
    <t xml:space="preserve">after Gathering Electricity · no stats of its own, but its prerequisites need LTN 65 · STR 25 · MED 20 (Gathering Electricity, Static Blade)</t>
  </si>
  <si>
    <t xml:space="preserve">Static Blade (2)</t>
  </si>
  <si>
    <t xml:space="preserve">Your next dash after activating Static Blade is enhanced by lightning.</t>
  </si>
  <si>
    <t xml:space="preserve">Overflowing Dam</t>
  </si>
  <si>
    <t xml:space="preserve">INT 40</t>
  </si>
  <si>
    <t xml:space="preserve">Having full Ether for 2 seconds or more grants an aura to your attacks that grant them 10% more damage.</t>
  </si>
  <si>
    <t xml:space="preserve">Overwhelming Drain</t>
  </si>
  <si>
    <t xml:space="preserve">SDW 1 · mantra Shadow Eruption · with prerequisites: SDW 20 (Shadow Eruption)</t>
  </si>
  <si>
    <t xml:space="preserve">If multiple enemies are hit by your Shadow Eruption, they are Dazed for 0.7s.</t>
  </si>
  <si>
    <t xml:space="preserve">Padded Armor</t>
  </si>
  <si>
    <t xml:space="preserve">While your armor is broken (or if you have no armor), you take 5% less damage.</t>
  </si>
  <si>
    <t xml:space="preserve">Panacea</t>
  </si>
  <si>
    <t xml:space="preserve">Hitting an enemy with a Bloodrend mantra stops their blood poison from decaying briefly.</t>
  </si>
  <si>
    <t xml:space="preserve">Pardon Me</t>
  </si>
  <si>
    <t xml:space="preserve">Crimes you commit in allied territories are often ignored. Who's asking?</t>
  </si>
  <si>
    <t xml:space="preserve">Parting Gift</t>
  </si>
  <si>
    <t xml:space="preserve">After you land a flourish, gain the ability to shoot bullets for 5 seconds. [Dual Gun]</t>
  </si>
  <si>
    <t xml:space="preserve">Perfect Flash</t>
  </si>
  <si>
    <t xml:space="preserve">Having over 95% health causes your mantras to do +25% damage. This damage bonus will scale down to 10% if your enemies…</t>
  </si>
  <si>
    <t xml:space="preserve">Peripheral Vision</t>
  </si>
  <si>
    <t xml:space="preserve">Hunter</t>
  </si>
  <si>
    <t xml:space="preserve">WLL 40 · mantra Glare · with prerequisites: WLL 40 · CHA 25 (Glare)</t>
  </si>
  <si>
    <t xml:space="preserve">WLL 40 · CHA 25</t>
  </si>
  <si>
    <t xml:space="preserve">Your glare now ignores if your opponent is facing you.</t>
  </si>
  <si>
    <t xml:space="preserve">Perpetual Distillery</t>
  </si>
  <si>
    <t xml:space="preserve">Perpetual Wrath</t>
  </si>
  <si>
    <t xml:space="preserve">Unleash the true power of Restrain. Each successive hit will increase its damage.</t>
  </si>
  <si>
    <t xml:space="preserve">Perseverance</t>
  </si>
  <si>
    <t xml:space="preserve">FTD 30 · WLL 30</t>
  </si>
  <si>
    <t xml:space="preserve">Defiance (2)</t>
  </si>
  <si>
    <t xml:space="preserve">Reduces the duration you're Ragdolled and Unconscious for by 25%.</t>
  </si>
  <si>
    <t xml:space="preserve">Phantom Edge</t>
  </si>
  <si>
    <t xml:space="preserve">Your weapon M1's have +0.25 range.</t>
  </si>
  <si>
    <t xml:space="preserve">Phantom Step</t>
  </si>
  <si>
    <t xml:space="preserve">WND 55 · after Haunted Path: Specter · with prerequisites: WND 55 (Haunted Path: Specter, Haunted Gale)</t>
  </si>
  <si>
    <t xml:space="preserve">WND 55</t>
  </si>
  <si>
    <t xml:space="preserve">Cyclone Blade (2), Possession (2), Apparitions (2)</t>
  </si>
  <si>
    <t xml:space="preserve">Press X to begin running at high speeds. While in Phantom Step, your dashes transform into Gale Dashes.…</t>
  </si>
  <si>
    <t xml:space="preserve">Phoenix Flames</t>
  </si>
  <si>
    <t xml:space="preserve">after Agitating Spark, Immolation · no stats of its own, but its prerequisites need FLM 40 (Agitating Spark, Immolation)</t>
  </si>
  <si>
    <t xml:space="preserve">Flame Within (2)</t>
  </si>
  <si>
    <t xml:space="preserve">Any time you would burn to death, you instead rise again with 50% of your health restored. Has a 60 second cooldown.</t>
  </si>
  <si>
    <t xml:space="preserve">Phoenix Impact</t>
  </si>
  <si>
    <t xml:space="preserve">FLM 40 · after Meteor Impact · with prerequisites: FLM 40 (Meteor Impact)</t>
  </si>
  <si>
    <t xml:space="preserve">If you Meteor Slam an opponent whilst on fire, restore some HP and Ether.</t>
  </si>
  <si>
    <t xml:space="preserve">Pickpocket</t>
  </si>
  <si>
    <t xml:space="preserve">AGL 5 · CHA 10</t>
  </si>
  <si>
    <t xml:space="preserve">Gain the ability to pickpocket by pressing N. Deal a little more damage the more notes you have against PvE opponents…</t>
  </si>
  <si>
    <t xml:space="preserve">Piercing Blow</t>
  </si>
  <si>
    <t xml:space="preserve">Attacks that break an opponent's block ignore their Armor resistances.</t>
  </si>
  <si>
    <t xml:space="preserve">Piercing Metal</t>
  </si>
  <si>
    <t xml:space="preserve">Power 13 · IRN 60</t>
  </si>
  <si>
    <t xml:space="preserve">Deal additional armor damage to enemies per metal rod affecting them.</t>
  </si>
  <si>
    <t xml:space="preserve">Piercing Will</t>
  </si>
  <si>
    <t xml:space="preserve">Placebo Effect</t>
  </si>
  <si>
    <t xml:space="preserve">Drinking potions near allies will share the potion's effect with them.</t>
  </si>
  <si>
    <t xml:space="preserve">Pleeksty's Faith</t>
  </si>
  <si>
    <t xml:space="preserve">FLM 25 · WLL 15 · CHA 15</t>
  </si>
  <si>
    <t xml:space="preserve">When on fire, automatically quench flames at the cost of some ether.</t>
  </si>
  <si>
    <t xml:space="preserve">Pleeksty's Will</t>
  </si>
  <si>
    <t xml:space="preserve">(FLM 40 or CHA 50)</t>
  </si>
  <si>
    <t xml:space="preserve">You gain significantly more ether from consuming elemental ingredients.</t>
  </si>
  <si>
    <t xml:space="preserve">Pocket Bombs</t>
  </si>
  <si>
    <t xml:space="preserve">You have a chance to activate a bomb in your inventory when damaged.</t>
  </si>
  <si>
    <t xml:space="preserve">Pocket Sand</t>
  </si>
  <si>
    <t xml:space="preserve">LHT 35 · STR 20</t>
  </si>
  <si>
    <t xml:space="preserve">Fists of Fortitude (1.656)</t>
  </si>
  <si>
    <t xml:space="preserve">[Fist] Feinting into an uppercut blinds, applies Stagger to PvE enemies and also applies Dazed briefly.</t>
  </si>
  <si>
    <t xml:space="preserve">Polished Armor</t>
  </si>
  <si>
    <t xml:space="preserve">You receive 5% less damage when your Armor protects you from an attack and has over 90% durability. This 5% will scale…</t>
  </si>
  <si>
    <t xml:space="preserve">Polite Awakening</t>
  </si>
  <si>
    <t xml:space="preserve">Upon recovering from being Unconscious, your health is restored up to a minimum of 15% of your max health.</t>
  </si>
  <si>
    <t xml:space="preserve">Possession</t>
  </si>
  <si>
    <t xml:space="preserve">WND 75 · after Haunted Path: Specter · with prerequisites: WND 75 (Haunted Path: Specter, Haunted Gale)</t>
  </si>
  <si>
    <t xml:space="preserve">After an apparition hits an enemy, receive 7.5% posture damage on all Galebreath attacks for 8 seconds. If the…</t>
  </si>
  <si>
    <t xml:space="preserve">Potion Quaffer</t>
  </si>
  <si>
    <t xml:space="preserve">INT 30 · (FTD 15 or WLL 15)</t>
  </si>
  <si>
    <t xml:space="preserve">INT 30 · FTD 15</t>
  </si>
  <si>
    <t xml:space="preserve">You're accustomed to drinking toxic fluids quickly. You'll get along famously with the other patrons at the tavern.…</t>
  </si>
  <si>
    <t xml:space="preserve">Preceding Chill</t>
  </si>
  <si>
    <t xml:space="preserve">ICE 60 · mantra Ice Beam · with prerequisites: ICE 60 (Ice Beam)</t>
  </si>
  <si>
    <t xml:space="preserve">Enemies hit during the last moments of your ice beam are frozen.</t>
  </si>
  <si>
    <t xml:space="preserve">Precise Swing</t>
  </si>
  <si>
    <t xml:space="preserve">STR 25 · AGL 15</t>
  </si>
  <si>
    <t xml:space="preserve">Speed Emission (1.38), Blood Thirsty (0.828)</t>
  </si>
  <si>
    <t xml:space="preserve">After landing a critical your next basic attack will gain 25% chip past your opponent's block.</t>
  </si>
  <si>
    <t xml:space="preserve">Precision Crusher</t>
  </si>
  <si>
    <t xml:space="preserve">STR 75 · after Hard Stop · with prerequisites: STR 75 (Bodkin Arrow)</t>
  </si>
  <si>
    <t xml:space="preserve">STR 75</t>
  </si>
  <si>
    <t xml:space="preserve">Landing a charged shot will knock your opponent down instead of back.</t>
  </si>
  <si>
    <t xml:space="preserve">Pressure Break</t>
  </si>
  <si>
    <t xml:space="preserve">WND 65 · (AGL 30 or STR 30) · after Air Pressure · with prerequisites: WND 65 · AGL 30 (Air Pressure)</t>
  </si>
  <si>
    <t xml:space="preserve">WND 65 · AGL 30</t>
  </si>
  <si>
    <t xml:space="preserve">Breaking an enemy's posture will cause them to take intense wind pressure, increasing the attack's damage by +15% and…</t>
  </si>
  <si>
    <t xml:space="preserve">Pressure Detonation</t>
  </si>
  <si>
    <t xml:space="preserve">Cosmic Winds</t>
  </si>
  <si>
    <t xml:space="preserve">WND 60 · SDW 40</t>
  </si>
  <si>
    <t xml:space="preserve">Block breaking an opponent with a Shadow mantra generates a small vacuum that suffocates those hit and steals their Tempo.</t>
  </si>
  <si>
    <t xml:space="preserve">Pressure Skewer</t>
  </si>
  <si>
    <t xml:space="preserve">[Rapier] Flourishing an enemy causes your M1's to deal additional chip damage, blood loss and makes your hits deal 3…</t>
  </si>
  <si>
    <t xml:space="preserve">Pressure Strike</t>
  </si>
  <si>
    <t xml:space="preserve">MED 90 · after Both Ends · with prerequisites: MED 90 (Both Ends)</t>
  </si>
  <si>
    <t xml:space="preserve">MED 90</t>
  </si>
  <si>
    <t xml:space="preserve">Prime Ether Bullets</t>
  </si>
  <si>
    <t xml:space="preserve">LHT 90 · INT 60 · after True Ether Bullets · with prerequisites: LHT 90 · INT 60 · HVY 20 (True Ether Bullets)</t>
  </si>
  <si>
    <t xml:space="preserve">LHT 90 · INT 60 · HVY 20</t>
  </si>
  <si>
    <t xml:space="preserve">Your bullets take one less hit to proc elemental effects and now have slight intelligence scaling. [Dual Gun]</t>
  </si>
  <si>
    <t xml:space="preserve">Proficient Baiting</t>
  </si>
  <si>
    <t xml:space="preserve">Casting your line excites ocean life, reducing the chances of fishing up trash.</t>
  </si>
  <si>
    <t xml:space="preserve">Propagandist</t>
  </si>
  <si>
    <t xml:space="preserve">CHA 75 · mantra Sing · with prerequisites: CHA 75 (Sing)</t>
  </si>
  <si>
    <t xml:space="preserve">Protagonist Syndrome</t>
  </si>
  <si>
    <t xml:space="preserve">The grasp of shadow is meaningless in the face of your blinding light. Your Dawnwalker mantras are empowered after…</t>
  </si>
  <si>
    <t xml:space="preserve">Punishing Blow</t>
  </si>
  <si>
    <t xml:space="preserve">HVY 20</t>
  </si>
  <si>
    <t xml:space="preserve">[Heavy Weapons] Daze opponents for 3s and Stagger PvE enemies for 2s when you interrupt their Basic Attack / actions…</t>
  </si>
  <si>
    <t xml:space="preserve">Pursuit</t>
  </si>
  <si>
    <t xml:space="preserve">AGL 90 · mantra Revenge · with prerequisites: AGL 90 (Revenge)</t>
  </si>
  <si>
    <t xml:space="preserve">If you land your Revenge, clear the cooldown immediately. (25s cooldown)</t>
  </si>
  <si>
    <t xml:space="preserve">Quick Swap</t>
  </si>
  <si>
    <t xml:space="preserve">Massively reduce your bullet swap cooldown. [Dual Gun]</t>
  </si>
  <si>
    <t xml:space="preserve">Quickdraw</t>
  </si>
  <si>
    <t xml:space="preserve">LHT 55</t>
  </si>
  <si>
    <t xml:space="preserve">Allows you to fire your offhand gun right after swinging. [Not necessary on dual guns]</t>
  </si>
  <si>
    <t xml:space="preserve">Rage Bait</t>
  </si>
  <si>
    <t xml:space="preserve">WLL 40 · CHA 90 · after Manipulator · with prerequisites: WLL 40 · CHA 90 (Manipulator, Charismatic Cast)</t>
  </si>
  <si>
    <t xml:space="preserve">WLL 40 · CHA 90</t>
  </si>
  <si>
    <t xml:space="preserve">Rain of Static</t>
  </si>
  <si>
    <t xml:space="preserve">Thunder Caster</t>
  </si>
  <si>
    <t xml:space="preserve">LTN 1 · mantra Lightning Impact · with prerequisites: LTN 20 (Lightning Impact)</t>
  </si>
  <si>
    <t xml:space="preserve">After successfully casting lightning impact, strike down countless thunder at those below. In return your Lightning…</t>
  </si>
  <si>
    <t xml:space="preserve">Rapid Fire</t>
  </si>
  <si>
    <t xml:space="preserve">[1H Guns] When you land a critical shot, gain Rapid Fire for 2s. 12s Cooldown.</t>
  </si>
  <si>
    <t xml:space="preserve">Rapid Reload</t>
  </si>
  <si>
    <t xml:space="preserve">[1H Guns] You have 20% faster reload when reloading an empty pistol.</t>
  </si>
  <si>
    <t xml:space="preserve">Ready or Not</t>
  </si>
  <si>
    <t xml:space="preserve">Lose Your Mind (0.972)</t>
  </si>
  <si>
    <t xml:space="preserve">The first attack to hit you while out of combat has its damage cut in half.</t>
  </si>
  <si>
    <t xml:space="preserve">Reality Shift</t>
  </si>
  <si>
    <t xml:space="preserve">Command the closest conjured servant to attack their hallucinating target, either using a Critical Attack or a Mantra.</t>
  </si>
  <si>
    <t xml:space="preserve">Reclaimed Glass</t>
  </si>
  <si>
    <t xml:space="preserve">ICE 65 · after Crystal Shrapnel · with prerequisites: ICE 65 (Crystal Shrapnel, Glass Path: Crystallization)</t>
  </si>
  <si>
    <t xml:space="preserve">Your Crystal Shrapnel explosions now grant you and any allies caught in them 10% Elemental Resistance for 10 seconds.</t>
  </si>
  <si>
    <t xml:space="preserve">Refine and Reuse</t>
  </si>
  <si>
    <t xml:space="preserve">Consuming rods with Scrapsinger reduces incoming PEN against you for 14 seconds. Each rod reduces PEN by 5%…</t>
  </si>
  <si>
    <t xml:space="preserve">Reinforced Armor</t>
  </si>
  <si>
    <t xml:space="preserve">FTD 90 · after Battle Tendency, Braced Collapse, Moving Fortress, Perseverance · with prerequisites: FTD 90 · WLL 30 (Battle Tendency, Braced Collapse, Moving Fortress, Perseverance)</t>
  </si>
  <si>
    <t xml:space="preserve">FTD 90 · WLL 30</t>
  </si>
  <si>
    <t xml:space="preserve">Incoming PEN is reduced by 30%.</t>
  </si>
  <si>
    <t xml:space="preserve">Relentless Hunt</t>
  </si>
  <si>
    <t xml:space="preserve">M1 while doing an Aerial Attack to initiate a special gap closer attack.</t>
  </si>
  <si>
    <t xml:space="preserve">Rending Impact</t>
  </si>
  <si>
    <t xml:space="preserve">[Greataxes] Block breaking an enemy applies knockdown.</t>
  </si>
  <si>
    <t xml:space="preserve">Rending Needle: Conductor</t>
  </si>
  <si>
    <t xml:space="preserve">Rending Needle: Jailer, Rending Needle: Impaler</t>
  </si>
  <si>
    <t xml:space="preserve">5 metal rods will combine into a conductor rod. If an enemy uses a non-Ironsing elemental mantra, they're dealt with…</t>
  </si>
  <si>
    <t xml:space="preserve">Rending Needle: Impaler</t>
  </si>
  <si>
    <t xml:space="preserve">Rending Needle: Jailer, Rending Needle: Conductor</t>
  </si>
  <si>
    <t xml:space="preserve">If an enemy is affected by 5 or more metal rods, your Ironsing Pull instead pulls out all of the rods for massive damage.</t>
  </si>
  <si>
    <t xml:space="preserve">Rending Needle: Jailer</t>
  </si>
  <si>
    <t xml:space="preserve">Rending Needle: Impaler, Rending Needle: Conductor</t>
  </si>
  <si>
    <t xml:space="preserve">If an enemy has 5 or more rods, your Ironsing Pull will restrain them for 1s instead of pulling them.</t>
  </si>
  <si>
    <t xml:space="preserve">Replenishing Knockout</t>
  </si>
  <si>
    <t xml:space="preserve">You gain more health and posture from downing enemies.</t>
  </si>
  <si>
    <t xml:space="preserve">Reshape and Remold</t>
  </si>
  <si>
    <t xml:space="preserve">IRN 70 · after Gilded Path: Scrapsinger, Artisan's Blade, Masterwork, Refine and Reuse, Songs Unforged · with prerequisites: IRN 70 (Gilded Path: Scrapsinger, Artisan's Blade, Masterwork, Refine and Reuse, Songs Unforged)</t>
  </si>
  <si>
    <t xml:space="preserve">IRN 70</t>
  </si>
  <si>
    <t xml:space="preserve">Successful procs of Scrapsinger will increase the amount of armor damage your opponent takes. After hitting 10 stacks,…</t>
  </si>
  <si>
    <t xml:space="preserve">Resolve Crusher</t>
  </si>
  <si>
    <t xml:space="preserve">Lightning moves now apply stacks of 'Resolve Crusher'. At 4 stacks, you apply 'Electrified' to your opponent. Attacks…</t>
  </si>
  <si>
    <t xml:space="preserve">Reveal</t>
  </si>
  <si>
    <t xml:space="preserve">Pour your heart out, and reveal your true strength.</t>
  </si>
  <si>
    <t xml:space="preserve">Reverse Leech</t>
  </si>
  <si>
    <t xml:space="preserve">Evil Endeavours</t>
  </si>
  <si>
    <t xml:space="preserve">SDW 60 · after Behind You · with prerequisites: SDW 60 · INT 70 · AGL 40 (Behind You, Keen Recovery)</t>
  </si>
  <si>
    <t xml:space="preserve">SDW 60 · INT 70 · AGL 40</t>
  </si>
  <si>
    <t xml:space="preserve">Anytime you proc Behind You, steal ether from your opponent too.</t>
  </si>
  <si>
    <t xml:space="preserve">Rising Star</t>
  </si>
  <si>
    <t xml:space="preserve">Press CTRL + M2 to activate a special uppercut attack.</t>
  </si>
  <si>
    <t xml:space="preserve">Observation, Safety Dance</t>
  </si>
  <si>
    <t xml:space="preserve">When you successfully dodge, you'll automatically dodge the next attack.</t>
  </si>
  <si>
    <t xml:space="preserve">Robber Baron</t>
  </si>
  <si>
    <t xml:space="preserve">Escape Artist</t>
  </si>
  <si>
    <t xml:space="preserve">Halves the number of items you drop on death. You no longer lose Notes on death.</t>
  </si>
  <si>
    <t xml:space="preserve">Rule Through Fear</t>
  </si>
  <si>
    <t xml:space="preserve">CHA 85 · STR 50</t>
  </si>
  <si>
    <t xml:space="preserve">Rush Hour</t>
  </si>
  <si>
    <t xml:space="preserve">Torture Mastery (2)</t>
  </si>
  <si>
    <t xml:space="preserve">Stab yourself to become stronger, faster, and deal increased blood bar damage.</t>
  </si>
  <si>
    <t xml:space="preserve">Rush of Ancients</t>
  </si>
  <si>
    <t xml:space="preserve">Dashing at maximum sprint momentum makes you one with the wind itself.</t>
  </si>
  <si>
    <t xml:space="preserve">Safety Dance</t>
  </si>
  <si>
    <t xml:space="preserve">Your base dodge frames are increased by 0.05s.</t>
  </si>
  <si>
    <t xml:space="preserve">Saint Jay</t>
  </si>
  <si>
    <t xml:space="preserve">after Frostbite · no stats of its own, but its prerequisites need ICE 25 (Frostbite)</t>
  </si>
  <si>
    <t xml:space="preserve">When a Chilled enemy receives a heal, it's nullified and 60% of the healing is redirected to you. While this is active…</t>
  </si>
  <si>
    <t xml:space="preserve">Saint's Negation</t>
  </si>
  <si>
    <t xml:space="preserve">Once per stance cycle you can fully block an attack that matches your Saint Stance.</t>
  </si>
  <si>
    <t xml:space="preserve">Saint's Overload</t>
  </si>
  <si>
    <t xml:space="preserve">After a full rotation of stances your elemental scaling is increased by 15% and Mantra Modifiers increased by 10%.</t>
  </si>
  <si>
    <t xml:space="preserve">Saint's Synergy</t>
  </si>
  <si>
    <t xml:space="preserve">15% of your highest element scaling is applied to other elemental damage.</t>
  </si>
  <si>
    <t xml:space="preserve">Sanguine Siphon</t>
  </si>
  <si>
    <t xml:space="preserve">Landing a critical attack while in a blood pool will consume that pool and empower your next blood mantra.</t>
  </si>
  <si>
    <t xml:space="preserve">Scaredy Cat</t>
  </si>
  <si>
    <t xml:space="preserve">AGL 5</t>
  </si>
  <si>
    <t xml:space="preserve">When enemies initiate a fight first, gain a speed boost.</t>
  </si>
  <si>
    <t xml:space="preserve">Sclerosteosis</t>
  </si>
  <si>
    <t xml:space="preserve">FTD 100</t>
  </si>
  <si>
    <t xml:space="preserve">Scorchblood</t>
  </si>
  <si>
    <t xml:space="preserve">BLD 40 · FLM 40</t>
  </si>
  <si>
    <t xml:space="preserve">Explosive Rage (2)</t>
  </si>
  <si>
    <t xml:space="preserve">Scorched Peak</t>
  </si>
  <si>
    <t xml:space="preserve">Lichtenberg</t>
  </si>
  <si>
    <t xml:space="preserve">LTN 50 · FLM 25</t>
  </si>
  <si>
    <t xml:space="preserve">Blockbreaking an enemy on fire or with a fire mantra causes them to be struck by lightning.</t>
  </si>
  <si>
    <t xml:space="preserve">Scorching Decay</t>
  </si>
  <si>
    <t xml:space="preserve">any weapon 100 · FLM 100 · after Emperor Flame · with prerequisites: HVY 100 · FLM 100 (Emperor Flame, Agitating Spark)</t>
  </si>
  <si>
    <t xml:space="preserve">HVY 100 · FLM 100</t>
  </si>
  <si>
    <t xml:space="preserve">Second Interrogation</t>
  </si>
  <si>
    <t xml:space="preserve">LTN 65 · after First Interrogation · with prerequisites: LTN 65 (First Interrogation, Resolve Crusher)</t>
  </si>
  <si>
    <t xml:space="preserve">Attacks from Electrified opponents deal 50% less damage and 50% less posture damage to you.</t>
  </si>
  <si>
    <t xml:space="preserve">Shadow Overflow</t>
  </si>
  <si>
    <t xml:space="preserve">SDW 55 · after Dark God · with prerequisites: SDW 55 (Dark God)</t>
  </si>
  <si>
    <t xml:space="preserve">SDW 55</t>
  </si>
  <si>
    <t xml:space="preserve">Extra ether stolen with mantras are exerted as dark energy, damaging and absorbing ether from those nearby.</t>
  </si>
  <si>
    <t xml:space="preserve">Shadow Travel</t>
  </si>
  <si>
    <t xml:space="preserve">SDW 75 · after Dark God · with prerequisites: SDW 75 (Dark God)</t>
  </si>
  <si>
    <t xml:space="preserve">SDW 75</t>
  </si>
  <si>
    <t xml:space="preserve">Teleport to a location in exchange for Ether cost. Certain ranges will require a health sacrifice. Be careful as this…</t>
  </si>
  <si>
    <t xml:space="preserve">Shadowcast Unbounded</t>
  </si>
  <si>
    <t xml:space="preserve">SDW 75 · after Master Shadowcaster · with prerequisites: SDW 75 (Master Shadowcaster, Expert Shadowcaster, Adept Shadowcaster, Shadowcaster)</t>
  </si>
  <si>
    <t xml:space="preserve">You have gained the ability to surpass your limits and train your Shadowcast to its fullest.</t>
  </si>
  <si>
    <t xml:space="preserve">SDW 1</t>
  </si>
  <si>
    <t xml:space="preserve">Grants you the ability to command shadows as a Shadowcaster.</t>
  </si>
  <si>
    <t xml:space="preserve">Shared Mimicry</t>
  </si>
  <si>
    <t xml:space="preserve">The servants you have conjured will imitate your actions when you Swing/Block/Parry/Jump.</t>
  </si>
  <si>
    <t xml:space="preserve">Shared Misery</t>
  </si>
  <si>
    <t xml:space="preserve">WLL 85</t>
  </si>
  <si>
    <t xml:space="preserve">Unswayed (1.1039999999999999)</t>
  </si>
  <si>
    <t xml:space="preserve">Using a M1/Critical Attack on an enemy while losing sanity causes them to lose sanity.</t>
  </si>
  <si>
    <t xml:space="preserve">Sharing is Caring</t>
  </si>
  <si>
    <t xml:space="preserve">BLD 50 · CHA 30 · after Charismatic Cast · with prerequisites: BLD 50 · CHA 30 (Charismatic Cast)</t>
  </si>
  <si>
    <t xml:space="preserve">BLD 50 · CHA 30</t>
  </si>
  <si>
    <t xml:space="preserve">Charmed on opponents also slightly increases your blood drain against them.</t>
  </si>
  <si>
    <t xml:space="preserve">Shield Breaker</t>
  </si>
  <si>
    <t xml:space="preserve">STR 60 · after Unwavering Resolve · with prerequisites: STR 60 (Unwavering Resolve)</t>
  </si>
  <si>
    <t xml:space="preserve">STR 60</t>
  </si>
  <si>
    <t xml:space="preserve">Blunt damage now fully ignores the posture bonus from shields.</t>
  </si>
  <si>
    <t xml:space="preserve">Shocking Finish</t>
  </si>
  <si>
    <t xml:space="preserve">LTN 30 · mantra Lightning Beam · with prerequisites: LTN 30 (Lightning Beam)</t>
  </si>
  <si>
    <t xml:space="preserve">Following a flourish up with a lightning beam causes it to be casted instantly.</t>
  </si>
  <si>
    <t xml:space="preserve">Showstopper</t>
  </si>
  <si>
    <t xml:space="preserve">When an enemy would roll through one of your physical attacks, stomp the ground, dazing anyone nearby. Removes speed…</t>
  </si>
  <si>
    <t xml:space="preserve">Sightless Still</t>
  </si>
  <si>
    <t xml:space="preserve">Singularity</t>
  </si>
  <si>
    <t xml:space="preserve">The more a person is affected by your Shadowcast the more you obscure their vision. Block breaking an opponent…</t>
  </si>
  <si>
    <t xml:space="preserve">Silencer's Blade</t>
  </si>
  <si>
    <t xml:space="preserve">Power 10 · WND 60</t>
  </si>
  <si>
    <t xml:space="preserve">Meleeing a 'Suffocated' opponent will extend the duration of the Suffocation and grant a speed boost.</t>
  </si>
  <si>
    <t xml:space="preserve">Silencer's Song</t>
  </si>
  <si>
    <t xml:space="preserve">Maestro's Technique</t>
  </si>
  <si>
    <t xml:space="preserve">any weapon 100 · WND 100 · after Silencer's Blade · with prerequisites: HVY 100 · WND 100 (Silencer's Blade)</t>
  </si>
  <si>
    <t xml:space="preserve">HVY 100 · WND 100</t>
  </si>
  <si>
    <t xml:space="preserve">Silencer's Blade now procs on your mantras.</t>
  </si>
  <si>
    <t xml:space="preserve">Silent Cascade</t>
  </si>
  <si>
    <t xml:space="preserve">Landing physical attacks on an opponent charges up your Silent Cascade, a devastating barrage that can be released…</t>
  </si>
  <si>
    <t xml:space="preserve">Sin Stacker</t>
  </si>
  <si>
    <t xml:space="preserve">WLL 90 · after All the Dead Gods · with prerequisites: WLL 90 · INT 40 (All the Dead Gods)</t>
  </si>
  <si>
    <t xml:space="preserve">WLL 90 · INT 40</t>
  </si>
  <si>
    <t xml:space="preserve">Your All The Dead Gods' duration is now based on how many stacks of antiheal you already have on your opponent,…</t>
  </si>
  <si>
    <t xml:space="preserve">Enemies will briefly hang in place immediately after being hit by a shadow move.</t>
  </si>
  <si>
    <t xml:space="preserve">Sleight of Hands</t>
  </si>
  <si>
    <t xml:space="preserve">[1H Guns] When you flourish an opponent you instantly load a bullet.</t>
  </si>
  <si>
    <t xml:space="preserve">Smell of Blood</t>
  </si>
  <si>
    <t xml:space="preserve">Enemies that touch your blood pools or are blockbroken by you are afflicted with Bloodscent for 6s.</t>
  </si>
  <si>
    <t xml:space="preserve">Snake Oil</t>
  </si>
  <si>
    <t xml:space="preserve">CHA 30</t>
  </si>
  <si>
    <t xml:space="preserve">Gain 40% more Notes from selling items.</t>
  </si>
  <si>
    <t xml:space="preserve">Soaring Storm</t>
  </si>
  <si>
    <t xml:space="preserve">Empower your uppercuts with the way of the blade, after Lithe Stepping, flourishing, or landing an Oath ability.</t>
  </si>
  <si>
    <t xml:space="preserve">Songs Unforged</t>
  </si>
  <si>
    <t xml:space="preserve">IRN 50 · after Gilded Path: Scrapsinger · with prerequisites: IRN 50 (Gilded Path: Scrapsinger)</t>
  </si>
  <si>
    <t xml:space="preserve">Your weapon criticals will now activate scrapsinger.</t>
  </si>
  <si>
    <t xml:space="preserve">Soul Infusion</t>
  </si>
  <si>
    <t xml:space="preserve">Infuse Ardour into your executions. If your execute is interrupted, the opponent remains down for a longer amount of…</t>
  </si>
  <si>
    <t xml:space="preserve">Sovereign State</t>
  </si>
  <si>
    <t xml:space="preserve">Landing physical hits builds your Blight Meter. At full gauge, enter a Blight State that changes your critical and…</t>
  </si>
  <si>
    <t xml:space="preserve">Sow and Mend</t>
  </si>
  <si>
    <t xml:space="preserve">BLD 60 · after Master Bloodrender · with prerequisites: BLD 60 (Master Bloodrender, Expert Bloodrender, Adept Bloodrender, Bloodrender)</t>
  </si>
  <si>
    <t xml:space="preserve">Sacrifice 35% of your blood for temporary health.</t>
  </si>
  <si>
    <t xml:space="preserve">Speed Demon</t>
  </si>
  <si>
    <t xml:space="preserve">Your attacks now inflict a reduced-strength bleed while you have a speed boost. 1s cooldown.</t>
  </si>
  <si>
    <t xml:space="preserve">Speed Emission</t>
  </si>
  <si>
    <t xml:space="preserve">Precise Swing (1.38), Strong Stern (1.2599999999999998), Spinning Swordsman (0.876), Blood Thirsty (1.6680000000000001), Matador (0.972), Lose Your Mind (1.164), Hard Read (1.3559999999999999), Concussion (0.9239999999999999), Grasp on Reality (1.0679999999999998)</t>
  </si>
  <si>
    <t xml:space="preserve">[Land a Vent] Gain a 5s speed boost and apply a 3s slow to your opponent.</t>
  </si>
  <si>
    <t xml:space="preserve">Spell Shout</t>
  </si>
  <si>
    <t xml:space="preserve">Deepwoken</t>
  </si>
  <si>
    <t xml:space="preserve">You will now shout your mantra name upon cast.</t>
  </si>
  <si>
    <t xml:space="preserve">Spine Cutter</t>
  </si>
  <si>
    <t xml:space="preserve">STR 20 · AGL 25</t>
  </si>
  <si>
    <t xml:space="preserve">Turtle Shell (2)</t>
  </si>
  <si>
    <t xml:space="preserve">Hitting an enemy in the back after a roll cancel will initiate a second attack that deals your weapon's raw damage.</t>
  </si>
  <si>
    <t xml:space="preserve">Spinning Swordsman</t>
  </si>
  <si>
    <t xml:space="preserve">Matador (0.84), Speed Emission (0.876)</t>
  </si>
  <si>
    <t xml:space="preserve">Running attacks do +15% extra damage when you have a speed boost.</t>
  </si>
  <si>
    <t xml:space="preserve">Spotter</t>
  </si>
  <si>
    <t xml:space="preserve">(CHA 40 + Murmur: Rhythm or Oath: Soulbreaker)</t>
  </si>
  <si>
    <t xml:space="preserve">Callout (2)</t>
  </si>
  <si>
    <t xml:space="preserve">Marking enemies while in Rhythm will now indicate their health status to your allies.</t>
  </si>
  <si>
    <t xml:space="preserve">Stasis Strike</t>
  </si>
  <si>
    <t xml:space="preserve">any weapon 90 · ICE 90 · after Glass Path: Crystallization · with prerequisites: HVY 90 · ICE 90 (Glass Path: Crystallization)</t>
  </si>
  <si>
    <t xml:space="preserve">HVY 90 · ICE 90</t>
  </si>
  <si>
    <t xml:space="preserve">Static Ace</t>
  </si>
  <si>
    <t xml:space="preserve">LTN 70 · after Static Link · with prerequisites: LTN 70 · INT 15 (Static Link)</t>
  </si>
  <si>
    <t xml:space="preserve">LTN 70 · INT 15</t>
  </si>
  <si>
    <t xml:space="preserve">Using Lightning Stream with an active tether link targets your closest active link.</t>
  </si>
  <si>
    <t xml:space="preserve">Static Allure</t>
  </si>
  <si>
    <t xml:space="preserve">LTN 50 · INT 15 · after Static Link · with prerequisites: LTN 50 · INT 15 (Static Link)</t>
  </si>
  <si>
    <t xml:space="preserve">LTN 50 · INT 15</t>
  </si>
  <si>
    <t xml:space="preserve">Having two active tethers will cause the previous tethered enemy to get magnetized to your newest tethered enemy, also…</t>
  </si>
  <si>
    <t xml:space="preserve">Static Blade</t>
  </si>
  <si>
    <t xml:space="preserve">MED 20 · LTN 40</t>
  </si>
  <si>
    <t xml:space="preserve">Overcharge (2)</t>
  </si>
  <si>
    <t xml:space="preserve">Hitting blocks, blocking or parrying hits will now generate an electric charge in your blade, granting a small speed…</t>
  </si>
  <si>
    <t xml:space="preserve">Static Fakeout</t>
  </si>
  <si>
    <t xml:space="preserve">AGL 30 · LTN 35</t>
  </si>
  <si>
    <t xml:space="preserve">Roll cancelling immediately after a parry will cause you to teleport behind your opponent.</t>
  </si>
  <si>
    <t xml:space="preserve">Static Flash Clone</t>
  </si>
  <si>
    <t xml:space="preserve">AGL 30 · LTN 35 · mantra Lightning Clones · with prerequisites: AGL 30 · LTN 35 (Lightning Clones)</t>
  </si>
  <si>
    <t xml:space="preserve">When using lightning clones you instead disappear leaving behind a static clone for a short duration.</t>
  </si>
  <si>
    <t xml:space="preserve">Static Link</t>
  </si>
  <si>
    <t xml:space="preserve">LTN 40 · INT 15</t>
  </si>
  <si>
    <t xml:space="preserve">Flourishing or uppercutting an enemy creates a static link between you and your enemy.</t>
  </si>
  <si>
    <t xml:space="preserve">Stay of Execution</t>
  </si>
  <si>
    <t xml:space="preserve">Liberator</t>
  </si>
  <si>
    <t xml:space="preserve">(CHA 25 or WLL 25)</t>
  </si>
  <si>
    <t xml:space="preserve">Increases the time taken to execute you by 20%. Saving others from being executed grants you both 10 TempHP (20s CD)</t>
  </si>
  <si>
    <t xml:space="preserve">Steady Footing</t>
  </si>
  <si>
    <t xml:space="preserve">STR 10 · AGL 10</t>
  </si>
  <si>
    <t xml:space="preserve">You're much more resistant to being pushed around.</t>
  </si>
  <si>
    <t xml:space="preserve">Steady Nerves</t>
  </si>
  <si>
    <t xml:space="preserve">STR 15 · AGL 45</t>
  </si>
  <si>
    <t xml:space="preserve">Maiming Claws (2)</t>
  </si>
  <si>
    <t xml:space="preserve">You dance from toe to toe - successful dodges restore posture.</t>
  </si>
  <si>
    <t xml:space="preserve">Steel Scales</t>
  </si>
  <si>
    <t xml:space="preserve">Power 8 · after Padded Armor</t>
  </si>
  <si>
    <t xml:space="preserve">You take an additional 5% less damage when your armor is broken.</t>
  </si>
  <si>
    <t xml:space="preserve">Sticky Flames</t>
  </si>
  <si>
    <t xml:space="preserve">HVY 80</t>
  </si>
  <si>
    <t xml:space="preserve">Stifled Jump</t>
  </si>
  <si>
    <t xml:space="preserve">after Suffocating Impact · no stats of its own, but its prerequisites need STR 15 · WND 35 (Suffocating Impact)</t>
  </si>
  <si>
    <t xml:space="preserve">STR 15 · WND 35</t>
  </si>
  <si>
    <t xml:space="preserve">Suffocating now applies Dazed if enemies jump. Suffocated PvE enemies now also get Sluggish when they are suffocated.</t>
  </si>
  <si>
    <t xml:space="preserve">Stock Bash</t>
  </si>
  <si>
    <t xml:space="preserve">MED 55 · STR 25</t>
  </si>
  <si>
    <t xml:space="preserve">[Rifles] Your running attacks now apply a brief amount of daze and Stagger PvE enemies.</t>
  </si>
  <si>
    <t xml:space="preserve">Storm Link</t>
  </si>
  <si>
    <t xml:space="preserve">Stormcaller</t>
  </si>
  <si>
    <t xml:space="preserve">LTN 60 · WND 50 · after Static Link · with prerequisites: LTN 60 · WND 50 · INT 15 (Static Link)</t>
  </si>
  <si>
    <t xml:space="preserve">LTN 60 · WND 50 · INT 15</t>
  </si>
  <si>
    <t xml:space="preserve">While you have a Static Link on someone, your Wind mantras that hit them are imbued with flashes of Lightning.</t>
  </si>
  <si>
    <t xml:space="preserve">Stratos Step</t>
  </si>
  <si>
    <t xml:space="preserve">Holding space while climbing will now let your perform Stratos Steps to get even higher.</t>
  </si>
  <si>
    <t xml:space="preserve">Stratoshock</t>
  </si>
  <si>
    <t xml:space="preserve">Strength Unbounded</t>
  </si>
  <si>
    <t xml:space="preserve">String Trick</t>
  </si>
  <si>
    <t xml:space="preserve">Pulls together any two opponents you've attached Hidden Tendril to.</t>
  </si>
  <si>
    <t xml:space="preserve">Strong Hold</t>
  </si>
  <si>
    <t xml:space="preserve">MED 30 · STR 30</t>
  </si>
  <si>
    <t xml:space="preserve">[Medium Weapons] When above half health and two-handing, posture damage taken is reduced by 5%.</t>
  </si>
  <si>
    <t xml:space="preserve">Strong Stern</t>
  </si>
  <si>
    <t xml:space="preserve">STR 15 · FTD 25</t>
  </si>
  <si>
    <t xml:space="preserve">Impervious Slumber (1.224), Speed Emission (1.2599999999999998), Lose Your Mind (0.84), Defensive Reprisal (1.188)</t>
  </si>
  <si>
    <t xml:space="preserve">The duration you are dazed from wall bangs is cut in half. Slightly reduce your guardbreak stun time from PvE enemies as well.</t>
  </si>
  <si>
    <t xml:space="preserve">Successive Prediction</t>
  </si>
  <si>
    <t xml:space="preserve">INT 50 · mantra Prediction · with prerequisites: INT 50 (Prediction)</t>
  </si>
  <si>
    <t xml:space="preserve">Nullifying Clarity (0.8999999999999999)</t>
  </si>
  <si>
    <t xml:space="preserve">Predicting an attack will briefly allow you to predict another.</t>
  </si>
  <si>
    <t xml:space="preserve">Successive Throw</t>
  </si>
  <si>
    <t xml:space="preserve">LHT 35</t>
  </si>
  <si>
    <t xml:space="preserve">[Dagger] When you successfully flourish an enemy, you throw out a dagger afterwards.</t>
  </si>
  <si>
    <t xml:space="preserve">Suffocating Impact</t>
  </si>
  <si>
    <t xml:space="preserve">When flourishing enemies into walls they are suffocated and winded for a short duration.</t>
  </si>
  <si>
    <t xml:space="preserve">Sulphur Surprise</t>
  </si>
  <si>
    <t xml:space="preserve">after Incendiary Formula</t>
  </si>
  <si>
    <t xml:space="preserve">Your cooldown for throwing bombs will be shortened after your first bomb damages an enemy.</t>
  </si>
  <si>
    <t xml:space="preserve">Sunken Predator</t>
  </si>
  <si>
    <t xml:space="preserve">Power 11</t>
  </si>
  <si>
    <t xml:space="preserve">Enemies you hit in the water or the depths have their speed buffs nullified and are slowed.</t>
  </si>
  <si>
    <t xml:space="preserve">Supernatural Sense</t>
  </si>
  <si>
    <t xml:space="preserve">After dealing with literal ghosts, you feel emboldened.</t>
  </si>
  <si>
    <t xml:space="preserve">Surge Path: Unstable Capacitor</t>
  </si>
  <si>
    <t xml:space="preserve">LTN 40</t>
  </si>
  <si>
    <t xml:space="preserve">Your lightning no longer applies Shock, instead apply Surge. At maximum stacks of Surge, your opponents will Overload,…</t>
  </si>
  <si>
    <t xml:space="preserve">Swift Rebound</t>
  </si>
  <si>
    <t xml:space="preserve">Move faster after successfully dodging an attack.</t>
  </si>
  <si>
    <t xml:space="preserve">Swiftkick Prodigy</t>
  </si>
  <si>
    <t xml:space="preserve">Switchblade</t>
  </si>
  <si>
    <t xml:space="preserve">LHT 50 · (MED 50 or HVY 50)</t>
  </si>
  <si>
    <t xml:space="preserve">LHT 50 · MED 50</t>
  </si>
  <si>
    <t xml:space="preserve">You can now utilize Dagger Talents when not wielding a dagger.</t>
  </si>
  <si>
    <t xml:space="preserve">Symbiotic Link</t>
  </si>
  <si>
    <t xml:space="preserve">Press X while hovering over an ally to buff them, or while hovering over an opponent to debuff them. The links you…</t>
  </si>
  <si>
    <t xml:space="preserve">Tactical Reload</t>
  </si>
  <si>
    <t xml:space="preserve">MED 95</t>
  </si>
  <si>
    <t xml:space="preserve">[Rifles] Activate to make your rifle shoot bullets for 15 seconds.</t>
  </si>
  <si>
    <t xml:space="preserve">Tainted Ground</t>
  </si>
  <si>
    <t xml:space="preserve">Enemies who stand in blood pools will not decay blood poison and gain 15% more blood poisoning.</t>
  </si>
  <si>
    <t xml:space="preserve">Tap Dancer</t>
  </si>
  <si>
    <t xml:space="preserve">Dodging immediately after a roll-cancel no longer puts your Dodge on a longer cooldown.</t>
  </si>
  <si>
    <t xml:space="preserve">Target Switch</t>
  </si>
  <si>
    <t xml:space="preserve">Parrying an opponent then hitting someone else makes your next mantra free.</t>
  </si>
  <si>
    <t xml:space="preserve">Taste The Rainbow</t>
  </si>
  <si>
    <t xml:space="preserve">Temperature Shock</t>
  </si>
  <si>
    <t xml:space="preserve">Flashfreeze</t>
  </si>
  <si>
    <t xml:space="preserve">FLM 40 · ICE 40 · after Glass Path: Crystallization · with prerequisites: FLM 40 · ICE 40 (Glass Path: Crystallization)</t>
  </si>
  <si>
    <t xml:space="preserve">FLM 40 · ICE 40</t>
  </si>
  <si>
    <t xml:space="preserve">Your fire mantras now detonate any stacked crystals.</t>
  </si>
  <si>
    <t xml:space="preserve">Termite</t>
  </si>
  <si>
    <t xml:space="preserve">FTD 20 · WLL 10</t>
  </si>
  <si>
    <t xml:space="preserve">You can eat things most would consider inedible.</t>
  </si>
  <si>
    <t xml:space="preserve">The Eleventh Hour</t>
  </si>
  <si>
    <t xml:space="preserve">When below 15% health your mantras require no ether to cast for 11 seconds.</t>
  </si>
  <si>
    <t xml:space="preserve">The Final Act</t>
  </si>
  <si>
    <t xml:space="preserve">Power 13 · FLM 60</t>
  </si>
  <si>
    <t xml:space="preserve">Landing a fire mantra immediately after flourishing an opponent will cause them to explode.</t>
  </si>
  <si>
    <t xml:space="preserve">The Floor is Lava</t>
  </si>
  <si>
    <t xml:space="preserve">FLM 100 · after Eruption Path: Lava Serpent · with prerequisites: FLM 100 (Eruption Path: Lava Serpent)</t>
  </si>
  <si>
    <t xml:space="preserve">FLM 100</t>
  </si>
  <si>
    <t xml:space="preserve">Your Eruptions leave lethal pools of lava beneath them. Don't fall in.</t>
  </si>
  <si>
    <t xml:space="preserve">Thornmail</t>
  </si>
  <si>
    <t xml:space="preserve">Getting flourished applies a metal rod on your attacker.</t>
  </si>
  <si>
    <t xml:space="preserve">Thresher Claws</t>
  </si>
  <si>
    <t xml:space="preserve">Grants +5% Weapon PEN.</t>
  </si>
  <si>
    <t xml:space="preserve">Thundercall Unbounded</t>
  </si>
  <si>
    <t xml:space="preserve">LTN 75 · after Master Thundercaller · with prerequisites: LTN 75 (Master Thundercaller, Expert Thundercaller, Adept Thundercaller, Thundercaller)</t>
  </si>
  <si>
    <t xml:space="preserve">LTN 75</t>
  </si>
  <si>
    <t xml:space="preserve">You have gained the ability to surpass your limits and train your Thundercall to its fullest.</t>
  </si>
  <si>
    <t xml:space="preserve">LTN 1</t>
  </si>
  <si>
    <t xml:space="preserve">Grants you the ability to command Lightning as a Thundercaller.</t>
  </si>
  <si>
    <t xml:space="preserve">Time To Go</t>
  </si>
  <si>
    <t xml:space="preserve">Taking a life grants a speed boost for 10 seconds. Taking a player's life doubles the speed boost and the duration.</t>
  </si>
  <si>
    <t xml:space="preserve">To The Finish</t>
  </si>
  <si>
    <t xml:space="preserve">Torture Mastery</t>
  </si>
  <si>
    <t xml:space="preserve">BLD 100 · any weapon 100</t>
  </si>
  <si>
    <t xml:space="preserve">BLD 100 · HVY 100</t>
  </si>
  <si>
    <t xml:space="preserve">Rush Hour (2)</t>
  </si>
  <si>
    <t xml:space="preserve">Landing a critical on opponents applies 15 seconds of Torture Mastery. Heal any chip damage off players who have…</t>
  </si>
  <si>
    <t xml:space="preserve">CHA 25 · after Charismatic Cast · with prerequisites: CHA 25 (Charismatic Cast)</t>
  </si>
  <si>
    <t xml:space="preserve">Narcissist, Elemental Mentalist</t>
  </si>
  <si>
    <t xml:space="preserve">Deal 10% more damage to enemies Charmed by you. Mantras deal +5% instead. Being hit by someone the same Aspect or Oath…</t>
  </si>
  <si>
    <t xml:space="preserve">Treefelling Blow</t>
  </si>
  <si>
    <t xml:space="preserve">You can collect lumber from the trees you fell with your fists. It's only natural.</t>
  </si>
  <si>
    <t xml:space="preserve">True Ether Bullets</t>
  </si>
  <si>
    <t xml:space="preserve">any weapon 20 · INT 30</t>
  </si>
  <si>
    <t xml:space="preserve">HVY 20 · INT 30</t>
  </si>
  <si>
    <t xml:space="preserve">Using Ether Bullets applies elemental damage of your highest investment.</t>
  </si>
  <si>
    <t xml:space="preserve">True Vantage</t>
  </si>
  <si>
    <t xml:space="preserve">Venting makes you invisible briefly, as well as boosting your speed.</t>
  </si>
  <si>
    <t xml:space="preserve">Turning of the Wheel</t>
  </si>
  <si>
    <t xml:space="preserve">After perfect dodging a swing or critical attack, step backwards and ramp up your swingspeed.</t>
  </si>
  <si>
    <t xml:space="preserve">Turtle Shell</t>
  </si>
  <si>
    <t xml:space="preserve">FTD 50 · after Knight's Rally · with prerequisites: FTD 50 · WLL 10 (Knight's Rally)</t>
  </si>
  <si>
    <t xml:space="preserve">FTD 50 · WLL 10</t>
  </si>
  <si>
    <t xml:space="preserve">Spine Cutter (2), Brazen Blow (1.02), Impairing Blow (0.9359999999999999)</t>
  </si>
  <si>
    <t xml:space="preserve">If your shield is on your back, take reduced backstab damage and negate Spine Cutter.</t>
  </si>
  <si>
    <t xml:space="preserve">Twelve Steps Ahead</t>
  </si>
  <si>
    <t xml:space="preserve">INT 80 · mantra Prediction · with prerequisites: INT 80 (Prediction)</t>
  </si>
  <si>
    <t xml:space="preserve">Landing Prediction will halve the cooldown to a minimum of 2s. Whiffing will double the cooldown to a maximum of 30s.…</t>
  </si>
  <si>
    <t xml:space="preserve">Ultrakill</t>
  </si>
  <si>
    <t xml:space="preserve">LHT 55 · after Rapid Fire · with prerequisites: LHT 55 (Rapid Fire)</t>
  </si>
  <si>
    <t xml:space="preserve">[1H Guns] When under the effects of Rapid Fire you reload 2X as fast.</t>
  </si>
  <si>
    <t xml:space="preserve">Under The Radar</t>
  </si>
  <si>
    <t xml:space="preserve">The negative reputation threshold for a faction to put out posters of you is now higher.</t>
  </si>
  <si>
    <t xml:space="preserve">Underdog</t>
  </si>
  <si>
    <t xml:space="preserve">WLL 30</t>
  </si>
  <si>
    <t xml:space="preserve">You deal 2.5% more damage to those with higher HP than you, scaling up to 4% at 60 WLL. Additionally, you deal +10% more damage to physically larger foes.</t>
  </si>
  <si>
    <t xml:space="preserve">Undying Flame</t>
  </si>
  <si>
    <t xml:space="preserve">WLL 40 · FLM 40 · mantra Graceful Flame · with prerequisites: WLL 40 · FLM 40 (Graceful Flame)</t>
  </si>
  <si>
    <t xml:space="preserve">Your Graceful Flame burns brightly even underwater. Those that gather around it are soothed and regain sanity.</t>
  </si>
  <si>
    <t xml:space="preserve">Unfazed</t>
  </si>
  <si>
    <t xml:space="preserve">WLL 50 · FTD 50 · after Grasp on Reality · with prerequisites: WLL 50 · FTD 50 (Grasp on Reality)</t>
  </si>
  <si>
    <t xml:space="preserve">WLL 50 · FTD 50</t>
  </si>
  <si>
    <t xml:space="preserve">You are more resilient to the side effects of going insane. You no longer Shiver and you Panic with less severity.</t>
  </si>
  <si>
    <t xml:space="preserve">Union Hook</t>
  </si>
  <si>
    <t xml:space="preserve">Ignition Union</t>
  </si>
  <si>
    <t xml:space="preserve">You can now make use of the Ignition Union hooks to ascend or descend.</t>
  </si>
  <si>
    <t xml:space="preserve">Unmatched Dexterity</t>
  </si>
  <si>
    <t xml:space="preserve">Press X to Quick Swap between weapons within your toolbar.</t>
  </si>
  <si>
    <t xml:space="preserve">Unnecessary Theatrics</t>
  </si>
  <si>
    <t xml:space="preserve">Showboater</t>
  </si>
  <si>
    <t xml:space="preserve">CHA 75 · after Charismatic Cast · with prerequisites: CHA 75 (Charismatic Cast)</t>
  </si>
  <si>
    <t xml:space="preserve">Manipulator (2)</t>
  </si>
  <si>
    <t xml:space="preserve">Unseen Threat</t>
  </si>
  <si>
    <t xml:space="preserve">AGL 60 · after Deep Wound · with prerequisites: AGL 60 (Deep Wound)</t>
  </si>
  <si>
    <t xml:space="preserve">You can assassinate those with weapons out provided you're not in combat yourself. Those you assassinate are slowed…</t>
  </si>
  <si>
    <t xml:space="preserve">Unstoppable Force</t>
  </si>
  <si>
    <t xml:space="preserve">STR 25 · HVY 40 · after Unwavering Resolve · with prerequisites: STR 40 · HVY 40 (Unwavering Resolve)</t>
  </si>
  <si>
    <t xml:space="preserve">STR 40 · HVY 40</t>
  </si>
  <si>
    <t xml:space="preserve">Unswayed</t>
  </si>
  <si>
    <t xml:space="preserve">WLL 75</t>
  </si>
  <si>
    <t xml:space="preserve">Cornered Fool (2), Encore (2), Echoing Lunatic (1.1159999999999999), Shared Misery (1.1039999999999999)</t>
  </si>
  <si>
    <t xml:space="preserve">The effects of Taunt and Encore no longer work on you.</t>
  </si>
  <si>
    <t xml:space="preserve">Untouchable</t>
  </si>
  <si>
    <t xml:space="preserve">By landing consecutive hits on your opponent without taking any damage, reveal your True Strength for a short duration.</t>
  </si>
  <si>
    <t xml:space="preserve">Unwavering Focus</t>
  </si>
  <si>
    <t xml:space="preserve">INT 60 · STR 10</t>
  </si>
  <si>
    <t xml:space="preserve">When your mantras are parried, receive less posture (scales with intelligence).</t>
  </si>
  <si>
    <t xml:space="preserve">Unwavering Resolve</t>
  </si>
  <si>
    <t xml:space="preserve">Getting parried punishes your posture 33% less.</t>
  </si>
  <si>
    <t xml:space="preserve">Unyielding Frost</t>
  </si>
  <si>
    <t xml:space="preserve">ICE 100</t>
  </si>
  <si>
    <t xml:space="preserve">Unyielding Inferno</t>
  </si>
  <si>
    <t xml:space="preserve">Vacuum Punch</t>
  </si>
  <si>
    <t xml:space="preserve">WND 20 · mantra Gale Punch · with prerequisites: WND 20 (Gale Punch)</t>
  </si>
  <si>
    <t xml:space="preserve">Vanishing Wraith</t>
  </si>
  <si>
    <t xml:space="preserve">WND 60 · after Phantom Step · with prerequisites: WND 60 (Phantom Step, Haunted Path: Specter, Haunted Gale)</t>
  </si>
  <si>
    <t xml:space="preserve">Your 'Aerial Attacks' while in Phantom Step will now teleport you behind your target.</t>
  </si>
  <si>
    <t xml:space="preserve">Vasculitis</t>
  </si>
  <si>
    <t xml:space="preserve">BLD 40 · INT 35</t>
  </si>
  <si>
    <t xml:space="preserve">Hitting your opponent while they have over 20% blood poisoning disables their deep gems for a brief duration while…</t>
  </si>
  <si>
    <t xml:space="preserve">Vengeful Pursuit</t>
  </si>
  <si>
    <t xml:space="preserve">Your running attacks that don't hit send out a special mid-range crescent projectile that slows on hit. Tracks onto…</t>
  </si>
  <si>
    <t xml:space="preserve">Volcanic Glass</t>
  </si>
  <si>
    <t xml:space="preserve">Pyroclast</t>
  </si>
  <si>
    <t xml:space="preserve">after Eruption Path: Lava Serpent, Glass Path: Crystallization · no stats of its own, but its prerequisites need FLM 40 · ICE 40 (Eruption Path: Lava Serpent, Glass Path: Crystallization)</t>
  </si>
  <si>
    <t xml:space="preserve">Detonating crystals causes an eruption soon after.</t>
  </si>
  <si>
    <t xml:space="preserve">Voltaic Conductor</t>
  </si>
  <si>
    <t xml:space="preserve">Super Conductor</t>
  </si>
  <si>
    <t xml:space="preserve">LTN 40 · IRN 75 · after Rending Needle: Conductor · with prerequisites: LTN 40 · IRN 75 (Rending Needle: Conductor, Master Ironsinger, Expert Ironsinger, Adept Ironsinger, Ironsinger)</t>
  </si>
  <si>
    <t xml:space="preserve">LTN 40 · IRN 75</t>
  </si>
  <si>
    <t xml:space="preserve">Your Thundercall Mantras deal 30% chip damage against enemies with conductor rods.</t>
  </si>
  <si>
    <t xml:space="preserve">Give and Take (1.2)</t>
  </si>
  <si>
    <t xml:space="preserve">The Vow of Mastery grants the Master the power to command their Subject.</t>
  </si>
  <si>
    <t xml:space="preserve">Warding Radiance</t>
  </si>
  <si>
    <t xml:space="preserve">FLM 30 · AGL 20</t>
  </si>
  <si>
    <t xml:space="preserve">Hell's Partisan (2)</t>
  </si>
  <si>
    <t xml:space="preserve">Every fire mantra builds up one halo stack. At 3 stacks a halo appears that allows you to slide further. Hell's Partisan is also triggered…</t>
  </si>
  <si>
    <t xml:space="preserve">Warrior's Swing</t>
  </si>
  <si>
    <t xml:space="preserve">[Heavy Weapons] Reduces incoming damage by 5% if hit during Heavy swing hyperarmor.</t>
  </si>
  <si>
    <t xml:space="preserve">Water off a Duck's Back</t>
  </si>
  <si>
    <t xml:space="preserve">Venting will shift any elemental status effects affecting you onto those hit by your vent.</t>
  </si>
  <si>
    <t xml:space="preserve">Way of Navae</t>
  </si>
  <si>
    <t xml:space="preserve">Gain the ability to use fist combat against weapons. Including the ability to block weapons with your hands using Ether.</t>
  </si>
  <si>
    <t xml:space="preserve">Will o' Wisp</t>
  </si>
  <si>
    <t xml:space="preserve">any attunement 25</t>
  </si>
  <si>
    <t xml:space="preserve">Your mastery over the Wisps of the Song enables you to mediate the innate conflicts between your wisps, allowing any…</t>
  </si>
  <si>
    <t xml:space="preserve">Willpower Unbounded</t>
  </si>
  <si>
    <t xml:space="preserve">You have gained the ability to surpass your limits and train your willpower to its fullest.</t>
  </si>
  <si>
    <t xml:space="preserve">Wind Step</t>
  </si>
  <si>
    <t xml:space="preserve">Create a step of wind below you when jumping in the air. Jumping while sliding down a slope or off a cliff launches…</t>
  </si>
  <si>
    <t xml:space="preserve">Windup Battery</t>
  </si>
  <si>
    <t xml:space="preserve">LTN 30 · INT 30</t>
  </si>
  <si>
    <t xml:space="preserve">Landing 3 Thundercall Mantras without whiffing reduces the windup of your next Mantra by 10%.</t>
  </si>
  <si>
    <t xml:space="preserve">Windwaker</t>
  </si>
  <si>
    <t xml:space="preserve">Scholar of the Cloud</t>
  </si>
  <si>
    <t xml:space="preserve">Call upon a gust of wind to propel your boat even faster.</t>
  </si>
  <si>
    <t xml:space="preserve">Wisp Convergence</t>
  </si>
  <si>
    <t xml:space="preserve">after Oath: Oathless, Chorus of Souls · no stats of its own, but its prerequisites need BLD 30 · SDW 30 · IRN 30 · WND 30 · LTN 30 · FLM 30 · ICE 30 (Chorus of Souls)</t>
  </si>
  <si>
    <t xml:space="preserve">When empowered by the Chorus, your Wisps now grant their elements to your strikes.</t>
  </si>
  <si>
    <t xml:space="preserve">Eruption Path: Lava Serpent, Flashboil, Azure Flames</t>
  </si>
  <si>
    <t xml:space="preserve">Your Flamecharm mantras summon puppets of shadow and flame. Your flames are now black.</t>
  </si>
  <si>
    <t xml:space="preserve">Wyvern's Claw</t>
  </si>
  <si>
    <t xml:space="preserve">Aerial Dancer</t>
  </si>
  <si>
    <t xml:space="preserve">any weapon 25 · STR 15</t>
  </si>
  <si>
    <t xml:space="preserve">You deal 10% more damage while airborne. Mantras receive a 5% damage increase instead.</t>
  </si>
  <si>
    <t xml:space="preserve">You'll Need To Get Past Me</t>
  </si>
  <si>
    <t xml:space="preserve">When you're attacked, one of your many allies will leap into action to protect their boss.</t>
  </si>
  <si>
    <t xml:space="preserve">Mantra</t>
  </si>
  <si>
    <t xml:space="preserve">Attunement</t>
  </si>
  <si>
    <t xml:space="preserve">Type</t>
  </si>
  <si>
    <t xml:space="preserve">Scale stat 1</t>
  </si>
  <si>
    <t xml:space="preserve">Coef 1</t>
  </si>
  <si>
    <t xml:space="preserve">Scale stat 2</t>
  </si>
  <si>
    <t xml:space="preserve">Coef 2</t>
  </si>
  <si>
    <t xml:space="preserve">Lv1</t>
  </si>
  <si>
    <t xml:space="preserve">Lv2</t>
  </si>
  <si>
    <t xml:space="preserve">Lv3</t>
  </si>
  <si>
    <t xml:space="preserve">Lv4</t>
  </si>
  <si>
    <t xml:space="preserve">Lv5</t>
  </si>
  <si>
    <t xml:space="preserve">Level with Calculator stats</t>
  </si>
  <si>
    <t xml:space="preserve">Hit with Calculator stats</t>
  </si>
  <si>
    <t xml:space="preserve">Abyssal Ridge</t>
  </si>
  <si>
    <t xml:space="preserve">Monster</t>
  </si>
  <si>
    <t xml:space="preserve">Combat</t>
  </si>
  <si>
    <t xml:space="preserve">M</t>
  </si>
  <si>
    <t xml:space="preserve">Abyssal Tendrils</t>
  </si>
  <si>
    <t xml:space="preserve">Adrenaline Surge</t>
  </si>
  <si>
    <t xml:space="preserve">Support</t>
  </si>
  <si>
    <t xml:space="preserve">N</t>
  </si>
  <si>
    <t xml:space="preserve">Agile Dash</t>
  </si>
  <si>
    <t xml:space="preserve">Mobility</t>
  </si>
  <si>
    <t xml:space="preserve">Air Force</t>
  </si>
  <si>
    <t xml:space="preserve">Arc Beam</t>
  </si>
  <si>
    <t xml:space="preserve">O</t>
  </si>
  <si>
    <t xml:space="preserve">Arc Suit</t>
  </si>
  <si>
    <t xml:space="preserve">Arc Wave</t>
  </si>
  <si>
    <t xml:space="preserve">Ardour Slicer</t>
  </si>
  <si>
    <t xml:space="preserve">Ascension</t>
  </si>
  <si>
    <t xml:space="preserve">Ash Slam</t>
  </si>
  <si>
    <t xml:space="preserve">FLM + STR</t>
  </si>
  <si>
    <t xml:space="preserve">FLM 50 · STR 20</t>
  </si>
  <si>
    <t xml:space="preserve">Astral Wind</t>
  </si>
  <si>
    <t xml:space="preserve">Beast Burrow</t>
  </si>
  <si>
    <t xml:space="preserve">Blade of Saints</t>
  </si>
  <si>
    <t xml:space="preserve">Blinding Dawn</t>
  </si>
  <si>
    <t xml:space="preserve">Blood Orb</t>
  </si>
  <si>
    <t xml:space="preserve">Blood Stakes</t>
  </si>
  <si>
    <t xml:space="preserve">Blood Wisp</t>
  </si>
  <si>
    <t xml:space="preserve">Wildcard</t>
  </si>
  <si>
    <t xml:space="preserve">Bloodcurdle</t>
  </si>
  <si>
    <t xml:space="preserve">Bloodedge</t>
  </si>
  <si>
    <t xml:space="preserve">Bloodtide Ritual</t>
  </si>
  <si>
    <t xml:space="preserve">Bolt Piercer</t>
  </si>
  <si>
    <t xml:space="preserve">Bone Wisp</t>
  </si>
  <si>
    <t xml:space="preserve">Brace</t>
  </si>
  <si>
    <t xml:space="preserve">Brachial Spear</t>
  </si>
  <si>
    <t xml:space="preserve">Burning Servants</t>
  </si>
  <si>
    <t xml:space="preserve">Caltrops</t>
  </si>
  <si>
    <t xml:space="preserve">Ceaseless Slashes</t>
  </si>
  <si>
    <t xml:space="preserve">Celestial Assault</t>
  </si>
  <si>
    <t xml:space="preserve">Chain Pull</t>
  </si>
  <si>
    <t xml:space="preserve">Champion's Whirlthrow</t>
  </si>
  <si>
    <t xml:space="preserve">Close Shave</t>
  </si>
  <si>
    <t xml:space="preserve">Clutching Shadow</t>
  </si>
  <si>
    <t xml:space="preserve">Coral Burst</t>
  </si>
  <si>
    <t xml:space="preserve">Crimson Rain</t>
  </si>
  <si>
    <t xml:space="preserve">Crimson Surge</t>
  </si>
  <si>
    <t xml:space="preserve">Crucifixion</t>
  </si>
  <si>
    <t xml:space="preserve">Crystal Impale</t>
  </si>
  <si>
    <t xml:space="preserve">ICE 30 · after Glass Path: Crystallization</t>
  </si>
  <si>
    <t xml:space="preserve">Crystal Knee</t>
  </si>
  <si>
    <t xml:space="preserve">Dark Blade</t>
  </si>
  <si>
    <t xml:space="preserve">Decimate</t>
  </si>
  <si>
    <t xml:space="preserve">Devouring Eye</t>
  </si>
  <si>
    <t xml:space="preserve">Disguise</t>
  </si>
  <si>
    <t xml:space="preserve">Dread Breath</t>
  </si>
  <si>
    <t xml:space="preserve">Dread Whisper</t>
  </si>
  <si>
    <t xml:space="preserve">Eclipse Kick</t>
  </si>
  <si>
    <t xml:space="preserve">SDW + STR</t>
  </si>
  <si>
    <t xml:space="preserve">SDW 50 · STR 15</t>
  </si>
  <si>
    <t xml:space="preserve">Electro Carve</t>
  </si>
  <si>
    <t xml:space="preserve">Emotion Wave</t>
  </si>
  <si>
    <t xml:space="preserve">Encircle</t>
  </si>
  <si>
    <t xml:space="preserve">Enforcer Pull</t>
  </si>
  <si>
    <t xml:space="preserve">Equalizer</t>
  </si>
  <si>
    <t xml:space="preserve">Ether Barrage</t>
  </si>
  <si>
    <t xml:space="preserve">Exhaustion Strike</t>
  </si>
  <si>
    <t xml:space="preserve">Fake Strike</t>
  </si>
  <si>
    <t xml:space="preserve">Fire Blade</t>
  </si>
  <si>
    <t xml:space="preserve">Fire Eruption</t>
  </si>
  <si>
    <t xml:space="preserve">Fire Forge</t>
  </si>
  <si>
    <t xml:space="preserve">Fire Gun</t>
  </si>
  <si>
    <t xml:space="preserve">Fire Palm</t>
  </si>
  <si>
    <t xml:space="preserve">Firing Line</t>
  </si>
  <si>
    <t xml:space="preserve">Flame Assault</t>
  </si>
  <si>
    <t xml:space="preserve">Flame Ballista</t>
  </si>
  <si>
    <t xml:space="preserve">Flame Blind</t>
  </si>
  <si>
    <t xml:space="preserve">Flame Grab</t>
  </si>
  <si>
    <t xml:space="preserve">Flame Leap</t>
  </si>
  <si>
    <t xml:space="preserve">Flame Repulsion</t>
  </si>
  <si>
    <t xml:space="preserve">Flame Sentinel</t>
  </si>
  <si>
    <t xml:space="preserve">Flame Wisp</t>
  </si>
  <si>
    <t xml:space="preserve">Flame of Denial</t>
  </si>
  <si>
    <t xml:space="preserve">Flaming Scourge</t>
  </si>
  <si>
    <t xml:space="preserve">Flare Volley</t>
  </si>
  <si>
    <t xml:space="preserve">Flashdraw Strike</t>
  </si>
  <si>
    <t xml:space="preserve">MED + AGL</t>
  </si>
  <si>
    <t xml:space="preserve">MED 60 · AGL 25</t>
  </si>
  <si>
    <t xml:space="preserve">Flashfire Sweep</t>
  </si>
  <si>
    <t xml:space="preserve">FLM + LTN</t>
  </si>
  <si>
    <t xml:space="preserve">FLM 30 · LTN 30</t>
  </si>
  <si>
    <t xml:space="preserve">Fleeting Sparks</t>
  </si>
  <si>
    <t xml:space="preserve">Frost Grab</t>
  </si>
  <si>
    <t xml:space="preserve">Frost Wisp</t>
  </si>
  <si>
    <t xml:space="preserve">Frozen Servants</t>
  </si>
  <si>
    <t xml:space="preserve">Gale Lunge</t>
  </si>
  <si>
    <t xml:space="preserve">Gale Punch</t>
  </si>
  <si>
    <t xml:space="preserve">Gale Wisp</t>
  </si>
  <si>
    <t xml:space="preserve">Galetrap</t>
  </si>
  <si>
    <t xml:space="preserve">Gaze</t>
  </si>
  <si>
    <t xml:space="preserve">Glacial Arc</t>
  </si>
  <si>
    <t xml:space="preserve">Glare</t>
  </si>
  <si>
    <t xml:space="preserve">CHA + WLL</t>
  </si>
  <si>
    <t xml:space="preserve">CHA 25 · (WLL 5 or WLL 20 · any attunement 1)</t>
  </si>
  <si>
    <t xml:space="preserve">Graceful Flame</t>
  </si>
  <si>
    <t xml:space="preserve">Grand Javelin</t>
  </si>
  <si>
    <t xml:space="preserve">Heavenly Wind</t>
  </si>
  <si>
    <t xml:space="preserve">Ice Beam</t>
  </si>
  <si>
    <t xml:space="preserve">Ice Blade</t>
  </si>
  <si>
    <t xml:space="preserve">Ice Carve</t>
  </si>
  <si>
    <t xml:space="preserve">Ice Chains</t>
  </si>
  <si>
    <t xml:space="preserve">Ice Cubes</t>
  </si>
  <si>
    <t xml:space="preserve">Ice Daggers</t>
  </si>
  <si>
    <t xml:space="preserve">Ice Eruption</t>
  </si>
  <si>
    <t xml:space="preserve">Ice Fissure</t>
  </si>
  <si>
    <t xml:space="preserve">Ice Flock</t>
  </si>
  <si>
    <t xml:space="preserve">Ice Forge</t>
  </si>
  <si>
    <t xml:space="preserve">Ice Lance</t>
  </si>
  <si>
    <t xml:space="preserve">Ice Lasers</t>
  </si>
  <si>
    <t xml:space="preserve">Ice Skates</t>
  </si>
  <si>
    <t xml:space="preserve">Ice Smash</t>
  </si>
  <si>
    <t xml:space="preserve">Ice Spikes</t>
  </si>
  <si>
    <t xml:space="preserve">Iceberg</t>
  </si>
  <si>
    <t xml:space="preserve">Illusory Counter</t>
  </si>
  <si>
    <t xml:space="preserve">Illusory Servants</t>
  </si>
  <si>
    <t xml:space="preserve">Impel</t>
  </si>
  <si>
    <t xml:space="preserve">Iron Hug</t>
  </si>
  <si>
    <t xml:space="preserve">Iron Quills</t>
  </si>
  <si>
    <t xml:space="preserve">Iron Skin</t>
  </si>
  <si>
    <t xml:space="preserve">Iron Slam</t>
  </si>
  <si>
    <t xml:space="preserve">Iron Tether</t>
  </si>
  <si>
    <t xml:space="preserve">IRN + LTN</t>
  </si>
  <si>
    <t xml:space="preserve">IRN 30 · LTN 30</t>
  </si>
  <si>
    <t xml:space="preserve">Jet Kick</t>
  </si>
  <si>
    <t xml:space="preserve">Jolt Grab</t>
  </si>
  <si>
    <t xml:space="preserve">Judgement</t>
  </si>
  <si>
    <t xml:space="preserve">Karita Divebomb</t>
  </si>
  <si>
    <t xml:space="preserve">LHT 20 · after Jus Karita</t>
  </si>
  <si>
    <t xml:space="preserve">Karita Leap</t>
  </si>
  <si>
    <t xml:space="preserve">Lethal Injection</t>
  </si>
  <si>
    <t xml:space="preserve">Lightning Assault</t>
  </si>
  <si>
    <t xml:space="preserve">Lightning Beam</t>
  </si>
  <si>
    <t xml:space="preserve">Lightning Blade</t>
  </si>
  <si>
    <t xml:space="preserve">Lightning Cloak</t>
  </si>
  <si>
    <t xml:space="preserve">Lightning Clones</t>
  </si>
  <si>
    <t xml:space="preserve">Lightning Impact</t>
  </si>
  <si>
    <t xml:space="preserve">Lightning Stream</t>
  </si>
  <si>
    <t xml:space="preserve">Lightning Strike</t>
  </si>
  <si>
    <t xml:space="preserve">Lord's Slice</t>
  </si>
  <si>
    <t xml:space="preserve">Master's Flourish</t>
  </si>
  <si>
    <t xml:space="preserve">Mecha Gatling</t>
  </si>
  <si>
    <t xml:space="preserve">Metal Armament</t>
  </si>
  <si>
    <t xml:space="preserve">Metal Ball</t>
  </si>
  <si>
    <t xml:space="preserve">Metal Eruption</t>
  </si>
  <si>
    <t xml:space="preserve">Metal Fakeout</t>
  </si>
  <si>
    <t xml:space="preserve">Metal Gatling</t>
  </si>
  <si>
    <t xml:space="preserve">Metal Kick</t>
  </si>
  <si>
    <t xml:space="preserve">Metal Rain</t>
  </si>
  <si>
    <t xml:space="preserve">Metal Rampart</t>
  </si>
  <si>
    <t xml:space="preserve">Metal Turret</t>
  </si>
  <si>
    <t xml:space="preserve">Metal Wisp</t>
  </si>
  <si>
    <t xml:space="preserve">Mindsoothe</t>
  </si>
  <si>
    <t xml:space="preserve">Mirror Illusion</t>
  </si>
  <si>
    <t xml:space="preserve">Needle Barrage</t>
  </si>
  <si>
    <t xml:space="preserve">Neural Pathway</t>
  </si>
  <si>
    <t xml:space="preserve">Onslaught</t>
  </si>
  <si>
    <t xml:space="preserve">Oxidizing Rush</t>
  </si>
  <si>
    <t xml:space="preserve">Palm Strike</t>
  </si>
  <si>
    <t xml:space="preserve">Parasitic Leech</t>
  </si>
  <si>
    <t xml:space="preserve">Permafrost Prison</t>
  </si>
  <si>
    <t xml:space="preserve">ICE + SDW</t>
  </si>
  <si>
    <t xml:space="preserve">ICE 30 · SDW 30</t>
  </si>
  <si>
    <t xml:space="preserve">Pillars of Erisia</t>
  </si>
  <si>
    <t xml:space="preserve">Precision Cuts</t>
  </si>
  <si>
    <t xml:space="preserve">Prediction</t>
  </si>
  <si>
    <t xml:space="preserve">Pressure Blast</t>
  </si>
  <si>
    <t xml:space="preserve">Prominence Draw</t>
  </si>
  <si>
    <t xml:space="preserve">Punishment</t>
  </si>
  <si>
    <t xml:space="preserve">Radiant Dawn</t>
  </si>
  <si>
    <t xml:space="preserve">Radiant Kick</t>
  </si>
  <si>
    <t xml:space="preserve">Rally</t>
  </si>
  <si>
    <t xml:space="preserve">FTD 10</t>
  </si>
  <si>
    <t xml:space="preserve">Rapid Punches</t>
  </si>
  <si>
    <t xml:space="preserve">STR 20</t>
  </si>
  <si>
    <t xml:space="preserve">Rapid Slashes</t>
  </si>
  <si>
    <t xml:space="preserve">Razor Blitz</t>
  </si>
  <si>
    <t xml:space="preserve">Reinforce</t>
  </si>
  <si>
    <t xml:space="preserve">Relentless Flames</t>
  </si>
  <si>
    <t xml:space="preserve">Restrain</t>
  </si>
  <si>
    <t xml:space="preserve">Revenge</t>
  </si>
  <si>
    <t xml:space="preserve">(AGL 5 or AGL 20 · any attunement 1)</t>
  </si>
  <si>
    <t xml:space="preserve">Rhythm Advance</t>
  </si>
  <si>
    <t xml:space="preserve">Rising Flame</t>
  </si>
  <si>
    <t xml:space="preserve">Rising Frost</t>
  </si>
  <si>
    <t xml:space="preserve">Rising Shadow</t>
  </si>
  <si>
    <t xml:space="preserve">Rising Wind</t>
  </si>
  <si>
    <t xml:space="preserve">Rocket Lance</t>
  </si>
  <si>
    <t xml:space="preserve">Rupture</t>
  </si>
  <si>
    <t xml:space="preserve">Sanguine Dive</t>
  </si>
  <si>
    <t xml:space="preserve">Scarlet Cannon</t>
  </si>
  <si>
    <t xml:space="preserve">Scarlet Cyclone</t>
  </si>
  <si>
    <t xml:space="preserve">Searing Snare</t>
  </si>
  <si>
    <t xml:space="preserve">Shade Bringer</t>
  </si>
  <si>
    <t xml:space="preserve">Shade Devour</t>
  </si>
  <si>
    <t xml:space="preserve">Shade Step</t>
  </si>
  <si>
    <t xml:space="preserve">Shade Wisp</t>
  </si>
  <si>
    <t xml:space="preserve">Shadow Assault</t>
  </si>
  <si>
    <t xml:space="preserve">Shadow Chains</t>
  </si>
  <si>
    <t xml:space="preserve">Shadow Eruption</t>
  </si>
  <si>
    <t xml:space="preserve">Shadow Gun</t>
  </si>
  <si>
    <t xml:space="preserve">Shadow Meteors</t>
  </si>
  <si>
    <t xml:space="preserve">Shadow Roar</t>
  </si>
  <si>
    <t xml:space="preserve">Shadow Seekers</t>
  </si>
  <si>
    <t xml:space="preserve">Shadow Vortex</t>
  </si>
  <si>
    <t xml:space="preserve">Shoulder Bash</t>
  </si>
  <si>
    <t xml:space="preserve">Sightless Beam</t>
  </si>
  <si>
    <t xml:space="preserve">Sing</t>
  </si>
  <si>
    <t xml:space="preserve">Sinister Halo</t>
  </si>
  <si>
    <t xml:space="preserve">Skycrash</t>
  </si>
  <si>
    <t xml:space="preserve">Skyshatter Kick</t>
  </si>
  <si>
    <t xml:space="preserve">Slice 'n' Dice</t>
  </si>
  <si>
    <t xml:space="preserve">MED 60</t>
  </si>
  <si>
    <t xml:space="preserve">Soul Beam</t>
  </si>
  <si>
    <t xml:space="preserve">after Oath: Oathless, Chorus of Souls</t>
  </si>
  <si>
    <t xml:space="preserve">Soulflare Siphon</t>
  </si>
  <si>
    <t xml:space="preserve">Sovereign Drive</t>
  </si>
  <si>
    <t xml:space="preserve">Spark Swap</t>
  </si>
  <si>
    <t xml:space="preserve">Storm Blades</t>
  </si>
  <si>
    <t xml:space="preserve">Strong Leap</t>
  </si>
  <si>
    <t xml:space="preserve">STR 50</t>
  </si>
  <si>
    <t xml:space="preserve">Strong Left</t>
  </si>
  <si>
    <t xml:space="preserve">Summon Cauldron</t>
  </si>
  <si>
    <t xml:space="preserve">Symbiotic Sustain</t>
  </si>
  <si>
    <t xml:space="preserve">Table Flip</t>
  </si>
  <si>
    <t xml:space="preserve">Tacet Drop Kick</t>
  </si>
  <si>
    <t xml:space="preserve">(STR 5 or STR 10 · any attunement 1) · after Murmur: Tacet, Jus Karita</t>
  </si>
  <si>
    <t xml:space="preserve">Tacet Kick</t>
  </si>
  <si>
    <t xml:space="preserve">Taunt</t>
  </si>
  <si>
    <t xml:space="preserve">Tempest Blitz</t>
  </si>
  <si>
    <t xml:space="preserve">WND + LTN</t>
  </si>
  <si>
    <t xml:space="preserve">WND 30 · LTN 30</t>
  </si>
  <si>
    <t xml:space="preserve">Throw</t>
  </si>
  <si>
    <t xml:space="preserve">STR 35</t>
  </si>
  <si>
    <t xml:space="preserve">Thunder Kick</t>
  </si>
  <si>
    <t xml:space="preserve">Thunder Wisp</t>
  </si>
  <si>
    <t xml:space="preserve">Tornado</t>
  </si>
  <si>
    <t xml:space="preserve">Tornado Kick</t>
  </si>
  <si>
    <t xml:space="preserve">Tranquil Circle</t>
  </si>
  <si>
    <t xml:space="preserve">Twincleave</t>
  </si>
  <si>
    <t xml:space="preserve">Twinstrikes</t>
  </si>
  <si>
    <t xml:space="preserve">STR + AGL</t>
  </si>
  <si>
    <t xml:space="preserve">AGL 60 · STR 40</t>
  </si>
  <si>
    <t xml:space="preserve">Twister Kicks</t>
  </si>
  <si>
    <t xml:space="preserve">Umbral Slash</t>
  </si>
  <si>
    <t xml:space="preserve">Updraft</t>
  </si>
  <si>
    <t xml:space="preserve">Vein Tendrils</t>
  </si>
  <si>
    <t xml:space="preserve">Veinbreaker</t>
  </si>
  <si>
    <t xml:space="preserve">Vicious Descent</t>
  </si>
  <si>
    <t xml:space="preserve">Warden Blades</t>
  </si>
  <si>
    <t xml:space="preserve">Warp Kick</t>
  </si>
  <si>
    <t xml:space="preserve">Whirling Blade</t>
  </si>
  <si>
    <t xml:space="preserve">Wind Blade</t>
  </si>
  <si>
    <t xml:space="preserve">Wind Carve</t>
  </si>
  <si>
    <t xml:space="preserve">Wind Forge</t>
  </si>
  <si>
    <t xml:space="preserve">Wind Gun</t>
  </si>
  <si>
    <t xml:space="preserve">Wind Passage</t>
  </si>
  <si>
    <t xml:space="preserve">Weapon</t>
  </si>
  <si>
    <t xml:space="preserve">PEN</t>
  </si>
  <si>
    <t xml:space="preserve">Scale stat 3</t>
  </si>
  <si>
    <t xml:space="preserve">Coef 3</t>
  </si>
  <si>
    <t xml:space="preserve">Acheron's Warspear</t>
  </si>
  <si>
    <t xml:space="preserve">Spear</t>
  </si>
  <si>
    <t xml:space="preserve">MED 40</t>
  </si>
  <si>
    <t xml:space="preserve">Adretian Axe</t>
  </si>
  <si>
    <t xml:space="preserve">Greataxe</t>
  </si>
  <si>
    <t xml:space="preserve">HVY 35</t>
  </si>
  <si>
    <t xml:space="preserve">Alloyed Adretian Axe</t>
  </si>
  <si>
    <t xml:space="preserve">Alloyed Canorian Axe</t>
  </si>
  <si>
    <t xml:space="preserve">Alloyed Cavalry Saber</t>
  </si>
  <si>
    <t xml:space="preserve">Sword</t>
  </si>
  <si>
    <t xml:space="preserve">Alloyed Crescent Cleaver</t>
  </si>
  <si>
    <t xml:space="preserve">Greatsword</t>
  </si>
  <si>
    <t xml:space="preserve">HVY 75 · STR 10</t>
  </si>
  <si>
    <t xml:space="preserve">Alloyed Dawnshot</t>
  </si>
  <si>
    <t xml:space="preserve">Pistol</t>
  </si>
  <si>
    <t xml:space="preserve">Alloyed Falchion</t>
  </si>
  <si>
    <t xml:space="preserve">Alloyed Forge Greathammer</t>
  </si>
  <si>
    <t xml:space="preserve">Greathammer</t>
  </si>
  <si>
    <t xml:space="preserve">Alloyed Halberd</t>
  </si>
  <si>
    <t xml:space="preserve">Alloyed Inheritor</t>
  </si>
  <si>
    <t xml:space="preserve">Alloyed Katana</t>
  </si>
  <si>
    <t xml:space="preserve">Alloyed Longspear</t>
  </si>
  <si>
    <t xml:space="preserve">Alloyed Messer</t>
  </si>
  <si>
    <t xml:space="preserve">Alloyed Officer Saber</t>
  </si>
  <si>
    <t xml:space="preserve">Alloyed Scalesplitter</t>
  </si>
  <si>
    <t xml:space="preserve">MED 65</t>
  </si>
  <si>
    <t xml:space="preserve">Alloyed Shotel</t>
  </si>
  <si>
    <t xml:space="preserve">Alloyed Steel Maul</t>
  </si>
  <si>
    <t xml:space="preserve">Alloyed Tanto</t>
  </si>
  <si>
    <t xml:space="preserve">Dagger</t>
  </si>
  <si>
    <t xml:space="preserve">LHT 80</t>
  </si>
  <si>
    <t xml:space="preserve">Alloyed Trident Spear</t>
  </si>
  <si>
    <t xml:space="preserve">MED 85</t>
  </si>
  <si>
    <t xml:space="preserve">Alloyed Vigil Longsword</t>
  </si>
  <si>
    <t xml:space="preserve">Alloyed Whaling Knife</t>
  </si>
  <si>
    <t xml:space="preserve">Alloyed Zweihander</t>
  </si>
  <si>
    <t xml:space="preserve">Anklets of Alsin</t>
  </si>
  <si>
    <t xml:space="preserve">Fist</t>
  </si>
  <si>
    <t xml:space="preserve">LHT 25 · after Jus Karita</t>
  </si>
  <si>
    <t xml:space="preserve">Apprentice Rapier</t>
  </si>
  <si>
    <t xml:space="preserve">Rapier</t>
  </si>
  <si>
    <t xml:space="preserve">Avenger</t>
  </si>
  <si>
    <t xml:space="preserve">Battleaxe</t>
  </si>
  <si>
    <t xml:space="preserve">Bellmarrow Reave</t>
  </si>
  <si>
    <t xml:space="preserve">Big Brother</t>
  </si>
  <si>
    <t xml:space="preserve">Black Death</t>
  </si>
  <si>
    <t xml:space="preserve">MED 30 · Mind 50 · SDW 70 · Power 10</t>
  </si>
  <si>
    <t xml:space="preserve">Bloodbane</t>
  </si>
  <si>
    <t xml:space="preserve">HVY 60 · STR 30</t>
  </si>
  <si>
    <t xml:space="preserve">Bloodfouler</t>
  </si>
  <si>
    <t xml:space="preserve">HVY 50 · BLD 75 · Power 10</t>
  </si>
  <si>
    <t xml:space="preserve">Bloodtide Trident</t>
  </si>
  <si>
    <t xml:space="preserve">Boltcrusher</t>
  </si>
  <si>
    <t xml:space="preserve">HVY 55 · STR 20 · LTN 80</t>
  </si>
  <si>
    <t xml:space="preserve">Broodalloy Cestus</t>
  </si>
  <si>
    <t xml:space="preserve">LHT 85</t>
  </si>
  <si>
    <t xml:space="preserve">Calamity Cinnabar</t>
  </si>
  <si>
    <t xml:space="preserve">HVY 40 · SDW 75 · Power 10</t>
  </si>
  <si>
    <t xml:space="preserve">Canor Fang</t>
  </si>
  <si>
    <t xml:space="preserve">Canorian Axe</t>
  </si>
  <si>
    <t xml:space="preserve">Cavalry Saber</t>
  </si>
  <si>
    <t xml:space="preserve">Central Dirk</t>
  </si>
  <si>
    <t xml:space="preserve">Cerulean Thread</t>
  </si>
  <si>
    <t xml:space="preserve">LHT 85 · Power 10</t>
  </si>
  <si>
    <t xml:space="preserve">Champion's Dagger</t>
  </si>
  <si>
    <t xml:space="preserve">Champion's Sword</t>
  </si>
  <si>
    <t xml:space="preserve">Chorus of Agonies</t>
  </si>
  <si>
    <t xml:space="preserve">HVY 100 · STR 20 · Power 10</t>
  </si>
  <si>
    <t xml:space="preserve">Coldpoint</t>
  </si>
  <si>
    <t xml:space="preserve">LHT 70 · ICE 25</t>
  </si>
  <si>
    <t xml:space="preserve">Coral Cestus</t>
  </si>
  <si>
    <t xml:space="preserve">Crescendo</t>
  </si>
  <si>
    <t xml:space="preserve">Crescent Cleaver</t>
  </si>
  <si>
    <t xml:space="preserve">HVY 45 · STR 10</t>
  </si>
  <si>
    <t xml:space="preserve">Crucible Rapier</t>
  </si>
  <si>
    <t xml:space="preserve">Crypt Blade</t>
  </si>
  <si>
    <t xml:space="preserve">Curved Blade of Winds</t>
  </si>
  <si>
    <t xml:space="preserve">MED 40 · WND 75 · Power 10</t>
  </si>
  <si>
    <t xml:space="preserve">Darkalloy Greatsword</t>
  </si>
  <si>
    <t xml:space="preserve">Darksteel Cleaver</t>
  </si>
  <si>
    <t xml:space="preserve">HVY 100 · STR 10</t>
  </si>
  <si>
    <t xml:space="preserve">Darksteel Greatsword</t>
  </si>
  <si>
    <t xml:space="preserve">HVY 40 · STR 10</t>
  </si>
  <si>
    <t xml:space="preserve">Dawnshot</t>
  </si>
  <si>
    <t xml:space="preserve">Death's Reverie</t>
  </si>
  <si>
    <t xml:space="preserve">Deepspindle</t>
  </si>
  <si>
    <t xml:space="preserve">LHT 50 · SDW 75</t>
  </si>
  <si>
    <t xml:space="preserve">Depthsplitter</t>
  </si>
  <si>
    <t xml:space="preserve">Dissonant Chimecaller</t>
  </si>
  <si>
    <t xml:space="preserve">Dormant Splinter</t>
  </si>
  <si>
    <t xml:space="preserve">MED 5</t>
  </si>
  <si>
    <t xml:space="preserve">Dragoon</t>
  </si>
  <si>
    <t xml:space="preserve">LHT 65</t>
  </si>
  <si>
    <t xml:space="preserve">Drakemaw Gauntlets</t>
  </si>
  <si>
    <t xml:space="preserve">Duskguard Axe</t>
  </si>
  <si>
    <t xml:space="preserve">HVY 75 · STR 10 · Power 10</t>
  </si>
  <si>
    <t xml:space="preserve">Duskpole</t>
  </si>
  <si>
    <t xml:space="preserve">Staff</t>
  </si>
  <si>
    <t xml:space="preserve">Duskshot</t>
  </si>
  <si>
    <t xml:space="preserve">Edenbrand Hellcoil</t>
  </si>
  <si>
    <t xml:space="preserve">Greatcannon</t>
  </si>
  <si>
    <t xml:space="preserve">HVY 75 · STR 30</t>
  </si>
  <si>
    <t xml:space="preserve">Enforcer's Axe</t>
  </si>
  <si>
    <t xml:space="preserve">Enforcer's Blade</t>
  </si>
  <si>
    <t xml:space="preserve">HVY 80 · STR 25</t>
  </si>
  <si>
    <t xml:space="preserve">Enforcer's Hammer</t>
  </si>
  <si>
    <t xml:space="preserve">Evanspear Greataxe</t>
  </si>
  <si>
    <t xml:space="preserve">HVY 70</t>
  </si>
  <si>
    <t xml:space="preserve">Eye of Malice</t>
  </si>
  <si>
    <t xml:space="preserve">Eyes of Ethiron</t>
  </si>
  <si>
    <t xml:space="preserve">MED 40 · WND 40 · SDW 40 · Power 10</t>
  </si>
  <si>
    <t xml:space="preserve">Falchion</t>
  </si>
  <si>
    <t xml:space="preserve">MED 20</t>
  </si>
  <si>
    <t xml:space="preserve">First Light</t>
  </si>
  <si>
    <t xml:space="preserve">Flamekeeper Cestus</t>
  </si>
  <si>
    <t xml:space="preserve">Flareblood Kamas</t>
  </si>
  <si>
    <t xml:space="preserve">LHT 60 · INT 30</t>
  </si>
  <si>
    <t xml:space="preserve">Flintlock</t>
  </si>
  <si>
    <t xml:space="preserve">Fondant Splitter</t>
  </si>
  <si>
    <t xml:space="preserve">MED 65 · Power 10</t>
  </si>
  <si>
    <t xml:space="preserve">Fool's Tankard</t>
  </si>
  <si>
    <t xml:space="preserve">Forge Greathammer</t>
  </si>
  <si>
    <t xml:space="preserve">HVY 55 · STR 10</t>
  </si>
  <si>
    <t xml:space="preserve">Forgotten Gladius</t>
  </si>
  <si>
    <t xml:space="preserve">Formless Shard</t>
  </si>
  <si>
    <t xml:space="preserve">Fractine</t>
  </si>
  <si>
    <t xml:space="preserve">HVY 80 · INT 40 · Power 10</t>
  </si>
  <si>
    <t xml:space="preserve">Frost Gauntlets</t>
  </si>
  <si>
    <t xml:space="preserve">LHT 90</t>
  </si>
  <si>
    <t xml:space="preserve">Gale Pale</t>
  </si>
  <si>
    <t xml:space="preserve">Gaunts of Enmity</t>
  </si>
  <si>
    <t xml:space="preserve">LHT 75 · FTD 10</t>
  </si>
  <si>
    <t xml:space="preserve">Gilded Knife</t>
  </si>
  <si>
    <t xml:space="preserve">LHT 25</t>
  </si>
  <si>
    <t xml:space="preserve">Golden Swordfish</t>
  </si>
  <si>
    <t xml:space="preserve">Gran Sudaruska</t>
  </si>
  <si>
    <t xml:space="preserve">HVY 40 · ICE 75 · Power 10</t>
  </si>
  <si>
    <t xml:space="preserve">Great Maul</t>
  </si>
  <si>
    <t xml:space="preserve">Gremorian Longspear</t>
  </si>
  <si>
    <t xml:space="preserve">Guiding Star</t>
  </si>
  <si>
    <t xml:space="preserve">Bow</t>
  </si>
  <si>
    <t xml:space="preserve">MED 75 · Mind 25</t>
  </si>
  <si>
    <t xml:space="preserve">Hailbreaker</t>
  </si>
  <si>
    <t xml:space="preserve">HVY 65 · ICE 55 · Power 10</t>
  </si>
  <si>
    <t xml:space="preserve">Halberd</t>
  </si>
  <si>
    <t xml:space="preserve">HVY 25</t>
  </si>
  <si>
    <t xml:space="preserve">Hallowscleave</t>
  </si>
  <si>
    <t xml:space="preserve">Hero's Blade of Flame</t>
  </si>
  <si>
    <t xml:space="preserve">FLM 100 · Power 10</t>
  </si>
  <si>
    <t xml:space="preserve">Hero's Blade of Frost</t>
  </si>
  <si>
    <t xml:space="preserve">ICE 100 · Power 10</t>
  </si>
  <si>
    <t xml:space="preserve">Hero's Blade of Lightning</t>
  </si>
  <si>
    <t xml:space="preserve">LTN 100 · Power 10</t>
  </si>
  <si>
    <t xml:space="preserve">Hero's Blade of Shadow</t>
  </si>
  <si>
    <t xml:space="preserve">SDW 100 · Power 10</t>
  </si>
  <si>
    <t xml:space="preserve">Hero's Blade of Wind</t>
  </si>
  <si>
    <t xml:space="preserve">WND 100 · Power 10</t>
  </si>
  <si>
    <t xml:space="preserve">Hivelord's Hubris</t>
  </si>
  <si>
    <t xml:space="preserve">HVY 100 · STR 60</t>
  </si>
  <si>
    <t xml:space="preserve">Hunting Bow</t>
  </si>
  <si>
    <t xml:space="preserve">Icepick</t>
  </si>
  <si>
    <t xml:space="preserve">Ignition Deepcrusher</t>
  </si>
  <si>
    <t xml:space="preserve">MED 40 · IRN 75</t>
  </si>
  <si>
    <t xml:space="preserve">Imperator's Edge</t>
  </si>
  <si>
    <t xml:space="preserve">MED 80 · STR 80 · FTD 80</t>
  </si>
  <si>
    <t xml:space="preserve">Imperial Staff</t>
  </si>
  <si>
    <t xml:space="preserve">MED 40 · STR 40</t>
  </si>
  <si>
    <t xml:space="preserve">Inquisitor's Greatsword</t>
  </si>
  <si>
    <t xml:space="preserve">Inquisitor's Thorn</t>
  </si>
  <si>
    <t xml:space="preserve">Iron Birch</t>
  </si>
  <si>
    <t xml:space="preserve">Iron Blunderbuss</t>
  </si>
  <si>
    <t xml:space="preserve">Rifle</t>
  </si>
  <si>
    <t xml:space="preserve">Iron Cestus</t>
  </si>
  <si>
    <t xml:space="preserve">Iron Requiem</t>
  </si>
  <si>
    <t xml:space="preserve">LHT 40 · IRN 75</t>
  </si>
  <si>
    <t xml:space="preserve">Iron Spear</t>
  </si>
  <si>
    <t xml:space="preserve">Iron Twinblade</t>
  </si>
  <si>
    <t xml:space="preserve">MED 15</t>
  </si>
  <si>
    <t xml:space="preserve">Irontusk</t>
  </si>
  <si>
    <t xml:space="preserve">Kanabo</t>
  </si>
  <si>
    <t xml:space="preserve">HVY 100 · STR 40</t>
  </si>
  <si>
    <t xml:space="preserve">Karita Plating</t>
  </si>
  <si>
    <t xml:space="preserve">AGL 80 · LHT 80 · after Jus Karita</t>
  </si>
  <si>
    <t xml:space="preserve">Katana</t>
  </si>
  <si>
    <t xml:space="preserve">MED 25</t>
  </si>
  <si>
    <t xml:space="preserve">Kindred Edict</t>
  </si>
  <si>
    <t xml:space="preserve">MED 50 · Body 30</t>
  </si>
  <si>
    <t xml:space="preserve">Krulian Knife</t>
  </si>
  <si>
    <t xml:space="preserve">Kyrsblade</t>
  </si>
  <si>
    <t xml:space="preserve">Kyrscleave</t>
  </si>
  <si>
    <t xml:space="preserve">Kyrsedge</t>
  </si>
  <si>
    <t xml:space="preserve">Kyrsglaive</t>
  </si>
  <si>
    <t xml:space="preserve">Kyrsieger</t>
  </si>
  <si>
    <t xml:space="preserve">HVY 50 · CHA 15</t>
  </si>
  <si>
    <t xml:space="preserve">Kyrstreza</t>
  </si>
  <si>
    <t xml:space="preserve">Kyrswynter</t>
  </si>
  <si>
    <t xml:space="preserve">MED 50 · ICE 75</t>
  </si>
  <si>
    <t xml:space="preserve">Legion Cestus</t>
  </si>
  <si>
    <t xml:space="preserve">Light's Final Toll</t>
  </si>
  <si>
    <t xml:space="preserve">LHT 35 · WLL 60</t>
  </si>
  <si>
    <t xml:space="preserve">Lumensplitter</t>
  </si>
  <si>
    <t xml:space="preserve">Mace</t>
  </si>
  <si>
    <t xml:space="preserve">Club</t>
  </si>
  <si>
    <t xml:space="preserve">MED 10</t>
  </si>
  <si>
    <t xml:space="preserve">Markor's Inheritor</t>
  </si>
  <si>
    <t xml:space="preserve">HVY 30 · STR 10</t>
  </si>
  <si>
    <t xml:space="preserve">Master Hawk's Handaxe</t>
  </si>
  <si>
    <t xml:space="preserve">Messer</t>
  </si>
  <si>
    <t xml:space="preserve">Moonseye Scalpel</t>
  </si>
  <si>
    <t xml:space="preserve">Exclusive</t>
  </si>
  <si>
    <t xml:space="preserve">Moppet</t>
  </si>
  <si>
    <t xml:space="preserve">Morning Star</t>
  </si>
  <si>
    <t xml:space="preserve">Needle's Eye</t>
  </si>
  <si>
    <t xml:space="preserve">Nemit's Sickle</t>
  </si>
  <si>
    <t xml:space="preserve">Night Axe</t>
  </si>
  <si>
    <t xml:space="preserve">Night Star</t>
  </si>
  <si>
    <t xml:space="preserve">Nocturne</t>
  </si>
  <si>
    <t xml:space="preserve">MED 90 · Power 10</t>
  </si>
  <si>
    <t xml:space="preserve">Officer Saber</t>
  </si>
  <si>
    <t xml:space="preserve">Palace Tachi</t>
  </si>
  <si>
    <t xml:space="preserve">MED 80 · Power 10</t>
  </si>
  <si>
    <t xml:space="preserve">Pale Briar</t>
  </si>
  <si>
    <t xml:space="preserve">HVY 85 · Power 10</t>
  </si>
  <si>
    <t xml:space="preserve">Pale Morning</t>
  </si>
  <si>
    <t xml:space="preserve">Pernach</t>
  </si>
  <si>
    <t xml:space="preserve">Petra's Anchor</t>
  </si>
  <si>
    <t xml:space="preserve">Phantomcleave</t>
  </si>
  <si>
    <t xml:space="preserve">Pleeksty's Inferno</t>
  </si>
  <si>
    <t xml:space="preserve">MED 40 · FLM 80</t>
  </si>
  <si>
    <t xml:space="preserve">Prototype Railblade</t>
  </si>
  <si>
    <t xml:space="preserve">Purple Cloud</t>
  </si>
  <si>
    <t xml:space="preserve">MED 85 · Power 10</t>
  </si>
  <si>
    <t xml:space="preserve">Putrid Edenstaff</t>
  </si>
  <si>
    <t xml:space="preserve">Quartztone Pickaxe</t>
  </si>
  <si>
    <t xml:space="preserve">Quickfang</t>
  </si>
  <si>
    <t xml:space="preserve">Railblade</t>
  </si>
  <si>
    <t xml:space="preserve">HVY 80 · Power 10</t>
  </si>
  <si>
    <t xml:space="preserve">Rangescraper</t>
  </si>
  <si>
    <t xml:space="preserve">Razor Cutlass</t>
  </si>
  <si>
    <t xml:space="preserve">Red Death</t>
  </si>
  <si>
    <t xml:space="preserve">MED 30 · Mind 25 · SDW 45 · BLD 35 · Power 8</t>
  </si>
  <si>
    <t xml:space="preserve">Relic Axe</t>
  </si>
  <si>
    <t xml:space="preserve">Repeater</t>
  </si>
  <si>
    <t xml:space="preserve">Rifle Spear</t>
  </si>
  <si>
    <t xml:space="preserve">Spear / Rifle</t>
  </si>
  <si>
    <t xml:space="preserve">Rimebreakers</t>
  </si>
  <si>
    <t xml:space="preserve">LHT 50 · ICE 50 · WND 50</t>
  </si>
  <si>
    <t xml:space="preserve">Rite of Authority</t>
  </si>
  <si>
    <t xml:space="preserve">MED 75 · LTN 40 · Power 15</t>
  </si>
  <si>
    <t xml:space="preserve">Ritual Sacrifice</t>
  </si>
  <si>
    <t xml:space="preserve">Ritual Spear</t>
  </si>
  <si>
    <t xml:space="preserve">Rockmaller</t>
  </si>
  <si>
    <t xml:space="preserve">Rosen's Hellflame</t>
  </si>
  <si>
    <t xml:space="preserve">MED 40 · FLM 75</t>
  </si>
  <si>
    <t xml:space="preserve">Rosen's Peacemaker</t>
  </si>
  <si>
    <t xml:space="preserve">Rosen's Roscoe</t>
  </si>
  <si>
    <t xml:space="preserve">Sacred Hammer</t>
  </si>
  <si>
    <t xml:space="preserve">Saint Jay's Hammer</t>
  </si>
  <si>
    <t xml:space="preserve">HVY 20 · STR 10</t>
  </si>
  <si>
    <t xml:space="preserve">Saintsblade</t>
  </si>
  <si>
    <t xml:space="preserve">Sancticar</t>
  </si>
  <si>
    <t xml:space="preserve">Sanguine Transfuser</t>
  </si>
  <si>
    <t xml:space="preserve">LHT 50 · BLD 75</t>
  </si>
  <si>
    <t xml:space="preserve">Scalesplitter</t>
  </si>
  <si>
    <t xml:space="preserve">Scimitar</t>
  </si>
  <si>
    <t xml:space="preserve">Scoundrel's Saber</t>
  </si>
  <si>
    <t xml:space="preserve">MED 55</t>
  </si>
  <si>
    <t xml:space="preserve">Serpent's Edge</t>
  </si>
  <si>
    <t xml:space="preserve">Serrated Warspear</t>
  </si>
  <si>
    <t xml:space="preserve">Shadebolt</t>
  </si>
  <si>
    <t xml:space="preserve">MED 45 · SDW 30</t>
  </si>
  <si>
    <t xml:space="preserve">Shotel</t>
  </si>
  <si>
    <t xml:space="preserve">Silver Dagger</t>
  </si>
  <si>
    <t xml:space="preserve">Silversix</t>
  </si>
  <si>
    <t xml:space="preserve">Skullpiercer</t>
  </si>
  <si>
    <t xml:space="preserve">Skyreap Blade</t>
  </si>
  <si>
    <t xml:space="preserve">Smouldering Hallow</t>
  </si>
  <si>
    <t xml:space="preserve">Soulthorn</t>
  </si>
  <si>
    <t xml:space="preserve">MED 80 · INT 40 · Power 10</t>
  </si>
  <si>
    <t xml:space="preserve">Sovereign's Punishment</t>
  </si>
  <si>
    <t xml:space="preserve">HVY 75 · STR 20</t>
  </si>
  <si>
    <t xml:space="preserve">Spectral Grasp</t>
  </si>
  <si>
    <t xml:space="preserve">Steel Maul</t>
  </si>
  <si>
    <t xml:space="preserve">Steelscale Dusters</t>
  </si>
  <si>
    <t xml:space="preserve">Stiletto</t>
  </si>
  <si>
    <t xml:space="preserve">Stoneheart</t>
  </si>
  <si>
    <t xml:space="preserve">HVY 80 · STR 20</t>
  </si>
  <si>
    <t xml:space="preserve">Stormseye</t>
  </si>
  <si>
    <t xml:space="preserve">MED 40 · LTN 75</t>
  </si>
  <si>
    <t xml:space="preserve">Summer Hullwrecker</t>
  </si>
  <si>
    <t xml:space="preserve">HVY 55 · STR 25</t>
  </si>
  <si>
    <t xml:space="preserve">Summer Rifle</t>
  </si>
  <si>
    <t xml:space="preserve">Tanto</t>
  </si>
  <si>
    <t xml:space="preserve">The Barrel</t>
  </si>
  <si>
    <t xml:space="preserve">The Flippers of Fate</t>
  </si>
  <si>
    <t xml:space="preserve">LHT 70 · Mind 30</t>
  </si>
  <si>
    <t xml:space="preserve">The Golden Fool</t>
  </si>
  <si>
    <t xml:space="preserve">The Long Tong of the Law</t>
  </si>
  <si>
    <t xml:space="preserve">HVY 70 · Mind 30</t>
  </si>
  <si>
    <t xml:space="preserve">The Pastry Paster</t>
  </si>
  <si>
    <t xml:space="preserve">MED 70 · Mind 30</t>
  </si>
  <si>
    <t xml:space="preserve">The Weaving Web</t>
  </si>
  <si>
    <t xml:space="preserve">MED 60 · CHA 40</t>
  </si>
  <si>
    <t xml:space="preserve">Toothed Club</t>
  </si>
  <si>
    <t xml:space="preserve">Trident Spear</t>
  </si>
  <si>
    <t xml:space="preserve">True Seraph Spear</t>
  </si>
  <si>
    <t xml:space="preserve">Umbrite Witherblade</t>
  </si>
  <si>
    <t xml:space="preserve">MED 65 · WLL 10 · Power 10</t>
  </si>
  <si>
    <t xml:space="preserve">Unsung Scythern</t>
  </si>
  <si>
    <t xml:space="preserve">HVY 75 · Power 10</t>
  </si>
  <si>
    <t xml:space="preserve">Vapormaw Carbine</t>
  </si>
  <si>
    <t xml:space="preserve">MED 50 · FLM 30 · ICE 30</t>
  </si>
  <si>
    <t xml:space="preserve">Vigil Longsword</t>
  </si>
  <si>
    <t xml:space="preserve">Vortex Echo</t>
  </si>
  <si>
    <t xml:space="preserve">LHT 65 · CHA 65</t>
  </si>
  <si>
    <t xml:space="preserve">Warden Ceremonial Sword</t>
  </si>
  <si>
    <t xml:space="preserve">Warmonger</t>
  </si>
  <si>
    <t xml:space="preserve">Weal and Woe</t>
  </si>
  <si>
    <t xml:space="preserve">MED 80 · SDW 65</t>
  </si>
  <si>
    <t xml:space="preserve">Whaling Knife</t>
  </si>
  <si>
    <t xml:space="preserve">Winter Rifle</t>
  </si>
  <si>
    <t xml:space="preserve">Withered Death's Knell</t>
  </si>
  <si>
    <t xml:space="preserve">LHT 70 · BLD 40</t>
  </si>
  <si>
    <t xml:space="preserve">Withered Gale Pale</t>
  </si>
  <si>
    <t xml:space="preserve">HVY 75 · WND 90</t>
  </si>
  <si>
    <t xml:space="preserve">Withered Phantomcleave</t>
  </si>
  <si>
    <t xml:space="preserve">MED 100</t>
  </si>
  <si>
    <t xml:space="preserve">Wooden Staff</t>
  </si>
  <si>
    <t xml:space="preserve">Worldpiercer Gauntlets</t>
  </si>
  <si>
    <t xml:space="preserve">LHT 85 · STR 30</t>
  </si>
  <si>
    <t xml:space="preserve">Worshipper Longsword</t>
  </si>
  <si>
    <t xml:space="preserve">Wraithclaw</t>
  </si>
  <si>
    <t xml:space="preserve">LHT 40 · WND 75</t>
  </si>
  <si>
    <t xml:space="preserve">Wretched Mawblades</t>
  </si>
  <si>
    <t xml:space="preserve">Wyrmtooth</t>
  </si>
  <si>
    <t xml:space="preserve">Sword / Greatsword</t>
  </si>
  <si>
    <t xml:space="preserve">MED 60 · HVY 40 · Power 15</t>
  </si>
  <si>
    <t xml:space="preserve">Ysley's Pyre Keeper</t>
  </si>
  <si>
    <t xml:space="preserve">LHT 10 · HVY 25 · FLM 75</t>
  </si>
  <si>
    <t xml:space="preserve">Zweihander</t>
  </si>
  <si>
    <t xml:space="preserve">Outfit</t>
  </si>
  <si>
    <t xml:space="preserve">Physical armor %</t>
  </si>
  <si>
    <t xml:space="preserve">Elemental armor %</t>
  </si>
  <si>
    <t xml:space="preserve">Durability</t>
  </si>
  <si>
    <t xml:space="preserve">Talents it gives</t>
  </si>
  <si>
    <t xml:space="preserve">Arachnid's Weave</t>
  </si>
  <si>
    <t xml:space="preserve">PWR 15</t>
  </si>
  <si>
    <t xml:space="preserve">Corrosive Touch</t>
  </si>
  <si>
    <t xml:space="preserve">Authority Captain Uniform</t>
  </si>
  <si>
    <t xml:space="preserve">Authority Commander</t>
  </si>
  <si>
    <t xml:space="preserve">Riot Breaker</t>
  </si>
  <si>
    <t xml:space="preserve">Authority Peacekeeper Armor</t>
  </si>
  <si>
    <t xml:space="preserve">Barbarian</t>
  </si>
  <si>
    <t xml:space="preserve">Black Diver</t>
  </si>
  <si>
    <t xml:space="preserve">PWR 15, WLL 10</t>
  </si>
  <si>
    <t xml:space="preserve">Blacksteel Attire</t>
  </si>
  <si>
    <t xml:space="preserve">Bounty Hunter</t>
  </si>
  <si>
    <t xml:space="preserve">PWR 5</t>
  </si>
  <si>
    <t xml:space="preserve">Cala-Mariner</t>
  </si>
  <si>
    <t xml:space="preserve">PWR 15, WLL 5</t>
  </si>
  <si>
    <t xml:space="preserve">Tidal Shock</t>
  </si>
  <si>
    <t xml:space="preserve">Carefree Garments</t>
  </si>
  <si>
    <t xml:space="preserve">PWR 6</t>
  </si>
  <si>
    <t xml:space="preserve">Fleetfoot</t>
  </si>
  <si>
    <t xml:space="preserve">Celtorian Tideknight</t>
  </si>
  <si>
    <t xml:space="preserve">Tidekeeper</t>
  </si>
  <si>
    <t xml:space="preserve">Cerulean Gown</t>
  </si>
  <si>
    <t xml:space="preserve">PWR 8</t>
  </si>
  <si>
    <t xml:space="preserve">Cindergarb</t>
  </si>
  <si>
    <t xml:space="preserve">PWR 15, FLM 45</t>
  </si>
  <si>
    <t xml:space="preserve">Repeated Propulsion, Warding Radiance</t>
  </si>
  <si>
    <t xml:space="preserve">Cloak of Winds</t>
  </si>
  <si>
    <t xml:space="preserve">PWR 10</t>
  </si>
  <si>
    <t xml:space="preserve">Paired Soul</t>
  </si>
  <si>
    <t xml:space="preserve">Corsair Outlaw</t>
  </si>
  <si>
    <t xml:space="preserve">Cutthroat Light Armor</t>
  </si>
  <si>
    <t xml:space="preserve">Hunter's Reflexes</t>
  </si>
  <si>
    <t xml:space="preserve">Darkened Bastion</t>
  </si>
  <si>
    <t xml:space="preserve">Withering Soul</t>
  </si>
  <si>
    <t xml:space="preserve">Darksteel Plate</t>
  </si>
  <si>
    <t xml:space="preserve">PWR 10, FTD 20</t>
  </si>
  <si>
    <t xml:space="preserve">Unbreakable</t>
  </si>
  <si>
    <t xml:space="preserve">Diver Apprentice Robes</t>
  </si>
  <si>
    <t xml:space="preserve">Diver Journeyman Robes</t>
  </si>
  <si>
    <t xml:space="preserve">Duelist's Attire</t>
  </si>
  <si>
    <t xml:space="preserve">Eager Tradesman</t>
  </si>
  <si>
    <t xml:space="preserve">Knack</t>
  </si>
  <si>
    <t xml:space="preserve">Etrean Guard</t>
  </si>
  <si>
    <t xml:space="preserve">Experienced Adventurer</t>
  </si>
  <si>
    <t xml:space="preserve">Looter</t>
  </si>
  <si>
    <t xml:space="preserve">Familiar Assassin's Armor</t>
  </si>
  <si>
    <t xml:space="preserve">Bane</t>
  </si>
  <si>
    <t xml:space="preserve">Familiar Demon's Armor</t>
  </si>
  <si>
    <t xml:space="preserve">Demon Step</t>
  </si>
  <si>
    <t xml:space="preserve">Familiar Heretic's Armor</t>
  </si>
  <si>
    <t xml:space="preserve">Soul Rip</t>
  </si>
  <si>
    <t xml:space="preserve">Familiar Knight's Armor</t>
  </si>
  <si>
    <t xml:space="preserve">Hyperbody</t>
  </si>
  <si>
    <t xml:space="preserve">Familiar Occultist's Armor</t>
  </si>
  <si>
    <t xml:space="preserve">Life Leech</t>
  </si>
  <si>
    <t xml:space="preserve">Ferryman's Coat</t>
  </si>
  <si>
    <t xml:space="preserve">PWR 12</t>
  </si>
  <si>
    <t xml:space="preserve">Ferryman's Curse</t>
  </si>
  <si>
    <t xml:space="preserve">Flame Worshipper Armor</t>
  </si>
  <si>
    <t xml:space="preserve">Intrepid Flame, One With Flame</t>
  </si>
  <si>
    <t xml:space="preserve">Grand Pathfinder Cloak</t>
  </si>
  <si>
    <t xml:space="preserve">Legendary</t>
  </si>
  <si>
    <t xml:space="preserve">Heretic's Memento</t>
  </si>
  <si>
    <t xml:space="preserve">Overflow</t>
  </si>
  <si>
    <t xml:space="preserve">Hidden Knife Armor</t>
  </si>
  <si>
    <t xml:space="preserve">Hired Mercenary</t>
  </si>
  <si>
    <t xml:space="preserve">Hive Adjudicator</t>
  </si>
  <si>
    <t xml:space="preserve">Hive Drone</t>
  </si>
  <si>
    <t xml:space="preserve">Hive Tactician Armor</t>
  </si>
  <si>
    <t xml:space="preserve">PWR 10, AGL 25</t>
  </si>
  <si>
    <t xml:space="preserve">Brunt</t>
  </si>
  <si>
    <t xml:space="preserve">Icebringer's Vestments</t>
  </si>
  <si>
    <t xml:space="preserve">PWR 15, ICE 45</t>
  </si>
  <si>
    <t xml:space="preserve">Refreeze, Orbital Ice</t>
  </si>
  <si>
    <t xml:space="preserve">Ignition Deepdelver</t>
  </si>
  <si>
    <t xml:space="preserve">Force Your Way</t>
  </si>
  <si>
    <t xml:space="preserve">Ignition Trailblazer</t>
  </si>
  <si>
    <t xml:space="preserve">Perseverance, Strong Stern</t>
  </si>
  <si>
    <t xml:space="preserve">Ignition Union Uniform</t>
  </si>
  <si>
    <t xml:space="preserve">Ignition Welder</t>
  </si>
  <si>
    <t xml:space="preserve">PWR 10, FTD 10</t>
  </si>
  <si>
    <t xml:space="preserve">Inquisition Light</t>
  </si>
  <si>
    <t xml:space="preserve">Lethal Dose</t>
  </si>
  <si>
    <t xml:space="preserve">Jade Vigil's Weave</t>
  </si>
  <si>
    <t xml:space="preserve">PWR 15, AGL 10</t>
  </si>
  <si>
    <t xml:space="preserve">Serpent's Dance</t>
  </si>
  <si>
    <t xml:space="preserve">Jester's Garb</t>
  </si>
  <si>
    <t xml:space="preserve">Mocking Favor, Not a Scratch</t>
  </si>
  <si>
    <t xml:space="preserve">Justicar Neophyte</t>
  </si>
  <si>
    <t xml:space="preserve">PWR 1</t>
  </si>
  <si>
    <t xml:space="preserve">Justicar's Armor</t>
  </si>
  <si>
    <t xml:space="preserve">The Path, Unveiled</t>
  </si>
  <si>
    <t xml:space="preserve">Legion Centurion</t>
  </si>
  <si>
    <t xml:space="preserve">PWR 15, FTD 10</t>
  </si>
  <si>
    <t xml:space="preserve">Centurion's Resolve</t>
  </si>
  <si>
    <t xml:space="preserve">Martial Artist</t>
  </si>
  <si>
    <t xml:space="preserve">PWR 10, STR 15</t>
  </si>
  <si>
    <t xml:space="preserve">Merchant Robes</t>
  </si>
  <si>
    <t xml:space="preserve">Merchant's Accord</t>
  </si>
  <si>
    <t xml:space="preserve">Navaen Nomad Robes</t>
  </si>
  <si>
    <t xml:space="preserve">Fists of Navae</t>
  </si>
  <si>
    <t xml:space="preserve">Navaen War Chief</t>
  </si>
  <si>
    <t xml:space="preserve">Chief's Will</t>
  </si>
  <si>
    <t xml:space="preserve">Pathfinder Arch-Sorcerer</t>
  </si>
  <si>
    <t xml:space="preserve">PWR 10, INT 25</t>
  </si>
  <si>
    <t xml:space="preserve">Devastating Power</t>
  </si>
  <si>
    <t xml:space="preserve">Pathfinder Cloak</t>
  </si>
  <si>
    <t xml:space="preserve">Survivalist</t>
  </si>
  <si>
    <t xml:space="preserve">Pathfinder Sorcerer</t>
  </si>
  <si>
    <t xml:space="preserve">INT 5</t>
  </si>
  <si>
    <t xml:space="preserve">Pathfinder Thaumaturge</t>
  </si>
  <si>
    <t xml:space="preserve">PWR 5, INT 10</t>
  </si>
  <si>
    <t xml:space="preserve">Prophet's Cloak</t>
  </si>
  <si>
    <t xml:space="preserve">Crippling Darkness</t>
  </si>
  <si>
    <t xml:space="preserve">Ringing Scholar's Garb</t>
  </si>
  <si>
    <t xml:space="preserve">PWR 15, INT 5</t>
  </si>
  <si>
    <t xml:space="preserve">Royal Etrean Guard</t>
  </si>
  <si>
    <t xml:space="preserve">Sanguine Finery</t>
  </si>
  <si>
    <t xml:space="preserve">PWR 15, BLD 45</t>
  </si>
  <si>
    <t xml:space="preserve">Focused Hematoma, Sheltered Grasp</t>
  </si>
  <si>
    <t xml:space="preserve">Scholar</t>
  </si>
  <si>
    <t xml:space="preserve">Scholar's Intuition</t>
  </si>
  <si>
    <t xml:space="preserve">Seamstress's Attire</t>
  </si>
  <si>
    <t xml:space="preserve">Shadow Hunter</t>
  </si>
  <si>
    <t xml:space="preserve">AGL 10</t>
  </si>
  <si>
    <t xml:space="preserve">Shock Corps Light</t>
  </si>
  <si>
    <t xml:space="preserve">Battle-Hardened</t>
  </si>
  <si>
    <t xml:space="preserve">Skeptic Pioneer</t>
  </si>
  <si>
    <t xml:space="preserve">Steel Plate</t>
  </si>
  <si>
    <t xml:space="preserve">PWR 5, FTD 10</t>
  </si>
  <si>
    <t xml:space="preserve">Stormchanter's Raiments</t>
  </si>
  <si>
    <t xml:space="preserve">PWR 15, LTN 45</t>
  </si>
  <si>
    <t xml:space="preserve">Circuit Breaker, Kickstart</t>
  </si>
  <si>
    <t xml:space="preserve">Stratos' Cloak</t>
  </si>
  <si>
    <t xml:space="preserve">Breeze</t>
  </si>
  <si>
    <t xml:space="preserve">Summer Company Uniform</t>
  </si>
  <si>
    <t xml:space="preserve">Summer Dragoon</t>
  </si>
  <si>
    <t xml:space="preserve">Sunset Ricochet</t>
  </si>
  <si>
    <t xml:space="preserve">Tempestmaker's Threads</t>
  </si>
  <si>
    <t xml:space="preserve">PWR 15, WND 45</t>
  </si>
  <si>
    <t xml:space="preserve">Tempest Evolution, Aerogliding</t>
  </si>
  <si>
    <t xml:space="preserve">Titanslayer's Adornment</t>
  </si>
  <si>
    <t xml:space="preserve">PWR 15, STR 50</t>
  </si>
  <si>
    <t xml:space="preserve">Primal Rage</t>
  </si>
  <si>
    <t xml:space="preserve">Titus's Raiment</t>
  </si>
  <si>
    <t xml:space="preserve">PWR 15, STR 30</t>
  </si>
  <si>
    <t xml:space="preserve">Overwhelming Might</t>
  </si>
  <si>
    <t xml:space="preserve">Trickster's Habit</t>
  </si>
  <si>
    <t xml:space="preserve">Troublemaker's Overcoat</t>
  </si>
  <si>
    <t xml:space="preserve">Unsung</t>
  </si>
  <si>
    <t xml:space="preserve">Varicosan Finery</t>
  </si>
  <si>
    <t xml:space="preserve">Benefactor</t>
  </si>
  <si>
    <t xml:space="preserve">Verdant Sniper</t>
  </si>
  <si>
    <t xml:space="preserve">Veteran Adventurer</t>
  </si>
  <si>
    <t xml:space="preserve">Vigil Initiate</t>
  </si>
  <si>
    <t xml:space="preserve">Vigil Sentinel</t>
  </si>
  <si>
    <t xml:space="preserve">PWR 10, WLL 5</t>
  </si>
  <si>
    <t xml:space="preserve">Vigil's Grace, Action Surge</t>
  </si>
  <si>
    <t xml:space="preserve">Warder's Attire</t>
  </si>
  <si>
    <t xml:space="preserve">Justicar's Gift</t>
  </si>
  <si>
    <t xml:space="preserve">Whaler Coat</t>
  </si>
  <si>
    <t xml:space="preserve">Whaler Initiate</t>
  </si>
  <si>
    <t xml:space="preserve">Windrunner Robes</t>
  </si>
  <si>
    <t xml:space="preserve">Wind Dancer</t>
  </si>
  <si>
    <t xml:space="preserve">Item</t>
  </si>
  <si>
    <t xml:space="preserve">Slot</t>
  </si>
  <si>
    <t xml:space="preserve">Physical armor</t>
  </si>
  <si>
    <t xml:space="preserve">Elemental armor</t>
  </si>
  <si>
    <t xml:space="preserve">Pip slots (rarity)</t>
  </si>
  <si>
    <t xml:space="preserve">Set</t>
  </si>
  <si>
    <t xml:space="preserve">Abyss Wanderer's Plate</t>
  </si>
  <si>
    <t xml:space="preserve">Arms</t>
  </si>
  <si>
    <t xml:space="preserve">L L L</t>
  </si>
  <si>
    <t xml:space="preserve">Abyss Wanderer</t>
  </si>
  <si>
    <t xml:space="preserve">Braced Collapse, Kick Off</t>
  </si>
  <si>
    <t xml:space="preserve">Adjudicator's Coat</t>
  </si>
  <si>
    <t xml:space="preserve">R R</t>
  </si>
  <si>
    <t xml:space="preserve">Adventurer Coat</t>
  </si>
  <si>
    <t xml:space="preserve">Aristocrat Coat</t>
  </si>
  <si>
    <t xml:space="preserve">Aristocrat</t>
  </si>
  <si>
    <t xml:space="preserve">Art of the Deal</t>
  </si>
  <si>
    <t xml:space="preserve">Ascended Outlaw Robes</t>
  </si>
  <si>
    <t xml:space="preserve">R L</t>
  </si>
  <si>
    <t xml:space="preserve">PWR 20</t>
  </si>
  <si>
    <t xml:space="preserve">Ascended Outlaw</t>
  </si>
  <si>
    <t xml:space="preserve">Ether Pinpoint</t>
  </si>
  <si>
    <t xml:space="preserve">Assassin's Cloak</t>
  </si>
  <si>
    <t xml:space="preserve">R R L</t>
  </si>
  <si>
    <t xml:space="preserve">Authority Commander Coat</t>
  </si>
  <si>
    <t xml:space="preserve">Autumn Pauldrons</t>
  </si>
  <si>
    <t xml:space="preserve">Autumn</t>
  </si>
  <si>
    <t xml:space="preserve">Azure Sentinel Pauldrons</t>
  </si>
  <si>
    <t xml:space="preserve">Azure Sentinel</t>
  </si>
  <si>
    <t xml:space="preserve">Bastions of Enmity</t>
  </si>
  <si>
    <t xml:space="preserve">Enmity</t>
  </si>
  <si>
    <t xml:space="preserve">Blacksteel Pauldrons</t>
  </si>
  <si>
    <t xml:space="preserve">R</t>
  </si>
  <si>
    <t xml:space="preserve">Blacksteel</t>
  </si>
  <si>
    <t xml:space="preserve">Blademaster's Robe</t>
  </si>
  <si>
    <t xml:space="preserve">R R R</t>
  </si>
  <si>
    <t xml:space="preserve">Blademaster</t>
  </si>
  <si>
    <t xml:space="preserve">Swift Blade</t>
  </si>
  <si>
    <t xml:space="preserve">Bluesteel Pauldrons</t>
  </si>
  <si>
    <t xml:space="preserve">Bluesteel</t>
  </si>
  <si>
    <t xml:space="preserve">Bluestone Pauldrons</t>
  </si>
  <si>
    <t xml:space="preserve">Bluestone</t>
  </si>
  <si>
    <t xml:space="preserve">Ether Emergency</t>
  </si>
  <si>
    <t xml:space="preserve">Brigand's Cloak</t>
  </si>
  <si>
    <t xml:space="preserve">Brigand</t>
  </si>
  <si>
    <t xml:space="preserve">Brilliant Pauldrons</t>
  </si>
  <si>
    <t xml:space="preserve">Brilliant</t>
  </si>
  <si>
    <t xml:space="preserve">Broodplate Cuirass</t>
  </si>
  <si>
    <t xml:space="preserve">Rotten Regeneration</t>
  </si>
  <si>
    <t xml:space="preserve">Celtor Commander Plate</t>
  </si>
  <si>
    <t xml:space="preserve">Celtor Commander</t>
  </si>
  <si>
    <t xml:space="preserve">Champion's Cape</t>
  </si>
  <si>
    <t xml:space="preserve">No Interruptions</t>
  </si>
  <si>
    <t xml:space="preserve">Crimson Terraplate Pauldrons</t>
  </si>
  <si>
    <t xml:space="preserve">L R R</t>
  </si>
  <si>
    <t xml:space="preserve">Cruentare</t>
  </si>
  <si>
    <t xml:space="preserve">Dark Owl Cloak</t>
  </si>
  <si>
    <t xml:space="preserve">Dark Owl</t>
  </si>
  <si>
    <t xml:space="preserve">Deepwoken Cloak</t>
  </si>
  <si>
    <t xml:space="preserve">Delver's Duster</t>
  </si>
  <si>
    <t xml:space="preserve">Diver's Light Plate</t>
  </si>
  <si>
    <t xml:space="preserve">Enforcer Plate</t>
  </si>
  <si>
    <t xml:space="preserve">Enforcer</t>
  </si>
  <si>
    <t xml:space="preserve">Ether Refined Mantle</t>
  </si>
  <si>
    <t xml:space="preserve">R L L</t>
  </si>
  <si>
    <t xml:space="preserve">PWR 12, INT 5</t>
  </si>
  <si>
    <t xml:space="preserve">Ether Refined</t>
  </si>
  <si>
    <t xml:space="preserve">Sorcerer's Surge, Overflowing Dam</t>
  </si>
  <si>
    <t xml:space="preserve">Etrean Siege Cuirass</t>
  </si>
  <si>
    <t xml:space="preserve">U R L</t>
  </si>
  <si>
    <t xml:space="preserve">Etrean Siege</t>
  </si>
  <si>
    <t xml:space="preserve">Evanspear War Plate</t>
  </si>
  <si>
    <t xml:space="preserve">PWR 10, STR 25</t>
  </si>
  <si>
    <t xml:space="preserve">Evanspear War</t>
  </si>
  <si>
    <t xml:space="preserve">First Ranger Duster</t>
  </si>
  <si>
    <t xml:space="preserve">Flameguard Pauldrons</t>
  </si>
  <si>
    <t xml:space="preserve">Flameguard</t>
  </si>
  <si>
    <t xml:space="preserve">Fur Parka</t>
  </si>
  <si>
    <t xml:space="preserve">Fur Pauldrons</t>
  </si>
  <si>
    <t xml:space="preserve">Fur</t>
  </si>
  <si>
    <t xml:space="preserve">Gladiator Pauldrons</t>
  </si>
  <si>
    <t xml:space="preserve">Gladiator</t>
  </si>
  <si>
    <t xml:space="preserve">Glassdancer Wraps</t>
  </si>
  <si>
    <t xml:space="preserve">Grand Authority Plate</t>
  </si>
  <si>
    <t xml:space="preserve">Grand Authority</t>
  </si>
  <si>
    <t xml:space="preserve">Grand Fisher Plate</t>
  </si>
  <si>
    <t xml:space="preserve">Grand Fisher</t>
  </si>
  <si>
    <t xml:space="preserve">Diver's Resilience</t>
  </si>
  <si>
    <t xml:space="preserve">Grand Pauldrons</t>
  </si>
  <si>
    <t xml:space="preserve">Grand</t>
  </si>
  <si>
    <t xml:space="preserve">Guardian Pauldrons</t>
  </si>
  <si>
    <t xml:space="preserve">Guardian</t>
  </si>
  <si>
    <t xml:space="preserve">Gumshoe Longcoat</t>
  </si>
  <si>
    <t xml:space="preserve">Gumshoe</t>
  </si>
  <si>
    <t xml:space="preserve">Hardened Enforcer Plate</t>
  </si>
  <si>
    <t xml:space="preserve">Hardened Enforcer</t>
  </si>
  <si>
    <t xml:space="preserve">Berserker, Enforcer's Strength</t>
  </si>
  <si>
    <t xml:space="preserve">Hive Scourge Cuirass</t>
  </si>
  <si>
    <t xml:space="preserve">Ignition Gauntlets</t>
  </si>
  <si>
    <t xml:space="preserve">Imperial Pauldrons</t>
  </si>
  <si>
    <t xml:space="preserve">Imperial</t>
  </si>
  <si>
    <t xml:space="preserve">Inquisitor's Duster</t>
  </si>
  <si>
    <t xml:space="preserve">Iron Pauldrons</t>
  </si>
  <si>
    <t xml:space="preserve">Iron</t>
  </si>
  <si>
    <t xml:space="preserve">Ironsinger Heavy Plate</t>
  </si>
  <si>
    <t xml:space="preserve">Justicar Defender</t>
  </si>
  <si>
    <t xml:space="preserve">R R R R</t>
  </si>
  <si>
    <t xml:space="preserve">Leather Gloves</t>
  </si>
  <si>
    <t xml:space="preserve">U</t>
  </si>
  <si>
    <t xml:space="preserve">Leather</t>
  </si>
  <si>
    <t xml:space="preserve">Leather Pauldrons</t>
  </si>
  <si>
    <t xml:space="preserve">Legion Pauldrons</t>
  </si>
  <si>
    <t xml:space="preserve">Legion</t>
  </si>
  <si>
    <t xml:space="preserve">Legion Phalanx Plate</t>
  </si>
  <si>
    <t xml:space="preserve">Legion Phalanx</t>
  </si>
  <si>
    <t xml:space="preserve">Megalodaunt Coat</t>
  </si>
  <si>
    <t xml:space="preserve">Mercenary's Garb</t>
  </si>
  <si>
    <t xml:space="preserve">Mercenary</t>
  </si>
  <si>
    <t xml:space="preserve">Ministry Cloak</t>
  </si>
  <si>
    <t xml:space="preserve">Ministry Operative Cloak</t>
  </si>
  <si>
    <t xml:space="preserve">Monastery Champion Robes</t>
  </si>
  <si>
    <t xml:space="preserve">Monastery Champion</t>
  </si>
  <si>
    <t xml:space="preserve">Temple Guard</t>
  </si>
  <si>
    <t xml:space="preserve">Moonseye Gauntlets</t>
  </si>
  <si>
    <t xml:space="preserve">Novice Brace</t>
  </si>
  <si>
    <t xml:space="preserve">Novice</t>
  </si>
  <si>
    <t xml:space="preserve">Ossified Black Pauldrons</t>
  </si>
  <si>
    <t xml:space="preserve">Ossified Blood</t>
  </si>
  <si>
    <t xml:space="preserve">Laminated Armor</t>
  </si>
  <si>
    <t xml:space="preserve">Ossified Simple Pauldrons</t>
  </si>
  <si>
    <t xml:space="preserve">Simple Buff</t>
  </si>
  <si>
    <t xml:space="preserve">Pathfinder Elite</t>
  </si>
  <si>
    <t xml:space="preserve">Providence Coat</t>
  </si>
  <si>
    <t xml:space="preserve">Ranger's Brace</t>
  </si>
  <si>
    <t xml:space="preserve">Ranger</t>
  </si>
  <si>
    <t xml:space="preserve">Redsteel Pauldrons</t>
  </si>
  <si>
    <t xml:space="preserve">Redsteel</t>
  </si>
  <si>
    <t xml:space="preserve">Reinforced War Plate</t>
  </si>
  <si>
    <t xml:space="preserve">PWR 20, STR 25</t>
  </si>
  <si>
    <t xml:space="preserve">Reinforced War</t>
  </si>
  <si>
    <t xml:space="preserve">Crippling Impact</t>
  </si>
  <si>
    <t xml:space="preserve">Ringing Scholar's Raiments</t>
  </si>
  <si>
    <t xml:space="preserve">L L</t>
  </si>
  <si>
    <t xml:space="preserve">Ringing Scholar</t>
  </si>
  <si>
    <t xml:space="preserve">Royal Duelist</t>
  </si>
  <si>
    <t xml:space="preserve">Royal Pathfinder</t>
  </si>
  <si>
    <t xml:space="preserve">Sailor's Fleece</t>
  </si>
  <si>
    <t xml:space="preserve">Sandrunner Wraps</t>
  </si>
  <si>
    <t xml:space="preserve">Sandrunner</t>
  </si>
  <si>
    <t xml:space="preserve">Shock Trooper Plate</t>
  </si>
  <si>
    <t xml:space="preserve">Shock Trooper</t>
  </si>
  <si>
    <t xml:space="preserve">Silver Pauldrons</t>
  </si>
  <si>
    <t xml:space="preserve">Silver Knight</t>
  </si>
  <si>
    <t xml:space="preserve">Simple Pauldrons</t>
  </si>
  <si>
    <t xml:space="preserve">Smith's Gloves</t>
  </si>
  <si>
    <t xml:space="preserve">Smith</t>
  </si>
  <si>
    <t xml:space="preserve">Specialist Plate</t>
  </si>
  <si>
    <t xml:space="preserve">PWR 20, LTN 30, WND 30</t>
  </si>
  <si>
    <t xml:space="preserve">Specialist</t>
  </si>
  <si>
    <t xml:space="preserve">Stormcall</t>
  </si>
  <si>
    <t xml:space="preserve">Star Duster</t>
  </si>
  <si>
    <t xml:space="preserve">Star</t>
  </si>
  <si>
    <t xml:space="preserve">Steel Pauldrons</t>
  </si>
  <si>
    <t xml:space="preserve">Summer Scarf</t>
  </si>
  <si>
    <t xml:space="preserve">L</t>
  </si>
  <si>
    <t xml:space="preserve">Terraplate Pauldrons</t>
  </si>
  <si>
    <t xml:space="preserve">Terrapod Tracer</t>
  </si>
  <si>
    <t xml:space="preserve">Titus's Cape</t>
  </si>
  <si>
    <t xml:space="preserve">Tracker's Brace</t>
  </si>
  <si>
    <t xml:space="preserve">Tracker</t>
  </si>
  <si>
    <t xml:space="preserve">Trimmed Overcoat</t>
  </si>
  <si>
    <t xml:space="preserve">Vanguard Brace</t>
  </si>
  <si>
    <t xml:space="preserve">Vanguard</t>
  </si>
  <si>
    <t xml:space="preserve">Warden Pauldrons</t>
  </si>
  <si>
    <t xml:space="preserve">Warlock's Mantle</t>
  </si>
  <si>
    <t xml:space="preserve">Warlock</t>
  </si>
  <si>
    <t xml:space="preserve">Western Outlaw Robes</t>
  </si>
  <si>
    <t xml:space="preserve">Western Outlaw</t>
  </si>
  <si>
    <t xml:space="preserve">Winter Corps Parka</t>
  </si>
  <si>
    <t xml:space="preserve">Winter Corps</t>
  </si>
  <si>
    <t xml:space="preserve">Winter's Protection</t>
  </si>
  <si>
    <t xml:space="preserve">Woodland Pauldrons</t>
  </si>
  <si>
    <t xml:space="preserve">Woodland</t>
  </si>
  <si>
    <t xml:space="preserve">Dark Pearls</t>
  </si>
  <si>
    <t xml:space="preserve">Earrings</t>
  </si>
  <si>
    <t xml:space="preserve">PWR 10, SDW 40</t>
  </si>
  <si>
    <t xml:space="preserve">Inky Pearls</t>
  </si>
  <si>
    <t xml:space="preserve">Ember Scorch Earrings</t>
  </si>
  <si>
    <t xml:space="preserve">C R</t>
  </si>
  <si>
    <t xml:space="preserve">Smoldering Touch</t>
  </si>
  <si>
    <t xml:space="preserve">Ether Empowered Earrings</t>
  </si>
  <si>
    <t xml:space="preserve">Ether Adeptness</t>
  </si>
  <si>
    <t xml:space="preserve">Ether Imbued Earrings</t>
  </si>
  <si>
    <t xml:space="preserve">Ether Tension</t>
  </si>
  <si>
    <t xml:space="preserve">Frost Crystal Earrings</t>
  </si>
  <si>
    <t xml:space="preserve">Instant Nucleation</t>
  </si>
  <si>
    <t xml:space="preserve">Gale Enhanced Earrings</t>
  </si>
  <si>
    <t xml:space="preserve">Gale Enhanced</t>
  </si>
  <si>
    <t xml:space="preserve">Way of the Wind</t>
  </si>
  <si>
    <t xml:space="preserve">Ossified Blood Earrings</t>
  </si>
  <si>
    <t xml:space="preserve">Sharpened Dagger</t>
  </si>
  <si>
    <t xml:space="preserve">Regenerative Earrings</t>
  </si>
  <si>
    <t xml:space="preserve">Regenerative</t>
  </si>
  <si>
    <t xml:space="preserve">Blood Convergence</t>
  </si>
  <si>
    <t xml:space="preserve">Shiva's Pendant Earrings</t>
  </si>
  <si>
    <t xml:space="preserve">Shiva</t>
  </si>
  <si>
    <t xml:space="preserve">Skillful Recovery</t>
  </si>
  <si>
    <t xml:space="preserve">Ascended Outlaw Mask</t>
  </si>
  <si>
    <t xml:space="preserve">Face</t>
  </si>
  <si>
    <t xml:space="preserve">C</t>
  </si>
  <si>
    <t xml:space="preserve">Destructive Yell</t>
  </si>
  <si>
    <t xml:space="preserve">Authority Voltspark Mask</t>
  </si>
  <si>
    <t xml:space="preserve">Volt Reflex</t>
  </si>
  <si>
    <t xml:space="preserve">Bejeweled Clip</t>
  </si>
  <si>
    <t xml:space="preserve">Blindfold</t>
  </si>
  <si>
    <t xml:space="preserve">Blinded</t>
  </si>
  <si>
    <t xml:space="preserve">Brow Stud</t>
  </si>
  <si>
    <t xml:space="preserve">Citadel Frames</t>
  </si>
  <si>
    <t xml:space="preserve">Dermal Stud</t>
  </si>
  <si>
    <t xml:space="preserve">Hollow Angel Mask</t>
  </si>
  <si>
    <t xml:space="preserve">Angel's Guise</t>
  </si>
  <si>
    <t xml:space="preserve">Inquisitor's Visor</t>
  </si>
  <si>
    <t xml:space="preserve">Blind Spot, Blinded</t>
  </si>
  <si>
    <t xml:space="preserve">Moon Brow Rings</t>
  </si>
  <si>
    <t xml:space="preserve">Moon Lip Ring</t>
  </si>
  <si>
    <t xml:space="preserve">Moon Septum Ring</t>
  </si>
  <si>
    <t xml:space="preserve">Necrotic Mask</t>
  </si>
  <si>
    <t xml:space="preserve">Necrotic</t>
  </si>
  <si>
    <t xml:space="preserve">Blood Plague</t>
  </si>
  <si>
    <t xml:space="preserve">Nose Stud</t>
  </si>
  <si>
    <t xml:space="preserve">Snakebite Studs</t>
  </si>
  <si>
    <t xml:space="preserve">Sworn Angel Mask</t>
  </si>
  <si>
    <t xml:space="preserve">Thrall of Enmity</t>
  </si>
  <si>
    <t xml:space="preserve">Emnity</t>
  </si>
  <si>
    <t xml:space="preserve">Aazel's Horns</t>
  </si>
  <si>
    <t xml:space="preserve">Head</t>
  </si>
  <si>
    <t xml:space="preserve">Aegis of Enmity</t>
  </si>
  <si>
    <t xml:space="preserve">Alchemist's Hat</t>
  </si>
  <si>
    <t xml:space="preserve">Ascended Outlaw Hat</t>
  </si>
  <si>
    <t xml:space="preserve">Mass Effect</t>
  </si>
  <si>
    <t xml:space="preserve">Assassin's Hood</t>
  </si>
  <si>
    <t xml:space="preserve">PWR 6, AGL 10</t>
  </si>
  <si>
    <t xml:space="preserve">Authority Helm</t>
  </si>
  <si>
    <t xml:space="preserve">U R</t>
  </si>
  <si>
    <t xml:space="preserve">Big Alchemist's Hat</t>
  </si>
  <si>
    <t xml:space="preserve">Big Herbalist's Hat</t>
  </si>
  <si>
    <t xml:space="preserve">Herbivore, Iron Gut</t>
  </si>
  <si>
    <t xml:space="preserve">Blackleaf Helm</t>
  </si>
  <si>
    <t xml:space="preserve">Blacksteel Helm</t>
  </si>
  <si>
    <t xml:space="preserve">Bloodfeather Cowl</t>
  </si>
  <si>
    <t xml:space="preserve">Bloodfeather</t>
  </si>
  <si>
    <t xml:space="preserve">Bloodletter</t>
  </si>
  <si>
    <t xml:space="preserve">Bloodforged Crown</t>
  </si>
  <si>
    <t xml:space="preserve">Brigand's Bicorn</t>
  </si>
  <si>
    <t xml:space="preserve">Broodplate Helmet</t>
  </si>
  <si>
    <t xml:space="preserve">Broodplate</t>
  </si>
  <si>
    <t xml:space="preserve">Broodlord's Scream</t>
  </si>
  <si>
    <t xml:space="preserve">Celtor Commander Helm</t>
  </si>
  <si>
    <t xml:space="preserve">Chef's Toque</t>
  </si>
  <si>
    <t xml:space="preserve">Umami, Gourmand</t>
  </si>
  <si>
    <t xml:space="preserve">Dark Owl Chapeau</t>
  </si>
  <si>
    <t xml:space="preserve">Deepscorn Casque</t>
  </si>
  <si>
    <t xml:space="preserve">Already Dead</t>
  </si>
  <si>
    <t xml:space="preserve">Deepwoken Hood</t>
  </si>
  <si>
    <t xml:space="preserve">Ether Refined Brim</t>
  </si>
  <si>
    <t xml:space="preserve">PWR 16</t>
  </si>
  <si>
    <t xml:space="preserve">Sorcerer's Skill</t>
  </si>
  <si>
    <t xml:space="preserve">Evanspear War Helmet</t>
  </si>
  <si>
    <t xml:space="preserve">Familiar Heretic's Helm</t>
  </si>
  <si>
    <t xml:space="preserve">Familiar Knight's Helm</t>
  </si>
  <si>
    <t xml:space="preserve">Familiar Priest's Helm</t>
  </si>
  <si>
    <t xml:space="preserve">Feathertop Helm</t>
  </si>
  <si>
    <t xml:space="preserve">Gale Enhanced Cowl</t>
  </si>
  <si>
    <t xml:space="preserve">Blade Dancer, Footwork Mastery</t>
  </si>
  <si>
    <t xml:space="preserve">Gladiator Helm</t>
  </si>
  <si>
    <t xml:space="preserve">Goldleaf Helm</t>
  </si>
  <si>
    <t xml:space="preserve">Grand Authority Sallet</t>
  </si>
  <si>
    <t xml:space="preserve">Grand Fisher Helm</t>
  </si>
  <si>
    <t xml:space="preserve">Coldseep Reactor</t>
  </si>
  <si>
    <t xml:space="preserve">Guardian Helmet</t>
  </si>
  <si>
    <t xml:space="preserve">Gumshoe Hat</t>
  </si>
  <si>
    <t xml:space="preserve">Handler's Hood</t>
  </si>
  <si>
    <t xml:space="preserve">Herbalist's Hat</t>
  </si>
  <si>
    <t xml:space="preserve">High Inquisitor's Hood</t>
  </si>
  <si>
    <t xml:space="preserve">Immortal Helm</t>
  </si>
  <si>
    <t xml:space="preserve">Immortality</t>
  </si>
  <si>
    <t xml:space="preserve">Inquisitor's Hood</t>
  </si>
  <si>
    <t xml:space="preserve">Investigator's Hat</t>
  </si>
  <si>
    <t xml:space="preserve">Diplomat</t>
  </si>
  <si>
    <t xml:space="preserve">Jester's Beret</t>
  </si>
  <si>
    <t xml:space="preserve">Cap Artist, Jester's Ruse</t>
  </si>
  <si>
    <t xml:space="preserve">Kabuto</t>
  </si>
  <si>
    <t xml:space="preserve">Kyrsmas Hat</t>
  </si>
  <si>
    <t xml:space="preserve">Legate Helm</t>
  </si>
  <si>
    <t xml:space="preserve">Legion Helmet</t>
  </si>
  <si>
    <t xml:space="preserve">Miner's Hardhat</t>
  </si>
  <si>
    <t xml:space="preserve">Rock Blaster, Excavator</t>
  </si>
  <si>
    <t xml:space="preserve">Monastery Cowl</t>
  </si>
  <si>
    <t xml:space="preserve">Necrotic Cowl</t>
  </si>
  <si>
    <t xml:space="preserve">Blood Siphon</t>
  </si>
  <si>
    <t xml:space="preserve">Necrotic Demon Horns</t>
  </si>
  <si>
    <t xml:space="preserve">Mindspark</t>
  </si>
  <si>
    <t xml:space="preserve">Ossified Barrel Helm</t>
  </si>
  <si>
    <t xml:space="preserve">Tenacity</t>
  </si>
  <si>
    <t xml:space="preserve">Ossified Black Helm</t>
  </si>
  <si>
    <t xml:space="preserve">Ossified Black</t>
  </si>
  <si>
    <t xml:space="preserve">Sloped Plate</t>
  </si>
  <si>
    <t xml:space="preserve">Parasol Planter</t>
  </si>
  <si>
    <t xml:space="preserve">Grotesque Resilience</t>
  </si>
  <si>
    <t xml:space="preserve">Phalanx Helm</t>
  </si>
  <si>
    <t xml:space="preserve">Reinforced War Helmet</t>
  </si>
  <si>
    <t xml:space="preserve">Fatal Strike</t>
  </si>
  <si>
    <t xml:space="preserve">Ringing Scholar's Capeline</t>
  </si>
  <si>
    <t xml:space="preserve">Seamaster's Cap</t>
  </si>
  <si>
    <t xml:space="preserve">Seamaster's Guile</t>
  </si>
  <si>
    <t xml:space="preserve">Shock Trooper Helmet</t>
  </si>
  <si>
    <t xml:space="preserve">Silver Knight's Helm</t>
  </si>
  <si>
    <t xml:space="preserve">Simmerbloom Diadem</t>
  </si>
  <si>
    <t xml:space="preserve">Simmerbloom</t>
  </si>
  <si>
    <t xml:space="preserve">Smith's Bandana</t>
  </si>
  <si>
    <t xml:space="preserve">Specialist Helmet</t>
  </si>
  <si>
    <t xml:space="preserve">Volt Draft</t>
  </si>
  <si>
    <t xml:space="preserve">Strapped Hat</t>
  </si>
  <si>
    <t xml:space="preserve">Exterminator, Eureka</t>
  </si>
  <si>
    <t xml:space="preserve">Ten-Gallon Hat</t>
  </si>
  <si>
    <t xml:space="preserve">Ten-Gallon</t>
  </si>
  <si>
    <t xml:space="preserve">The No-Life King's Crown</t>
  </si>
  <si>
    <t xml:space="preserve">Blood Necrosis, Cauterized Wounds, No Limits</t>
  </si>
  <si>
    <t xml:space="preserve">Tillian's Beret</t>
  </si>
  <si>
    <t xml:space="preserve">Tophat</t>
  </si>
  <si>
    <t xml:space="preserve">Vagabond's Bicorn</t>
  </si>
  <si>
    <t xml:space="preserve">Vigil Hood</t>
  </si>
  <si>
    <t xml:space="preserve">Warlock's Brim</t>
  </si>
  <si>
    <t xml:space="preserve">Western Outlaw Hat</t>
  </si>
  <si>
    <t xml:space="preserve">Wool Beret</t>
  </si>
  <si>
    <t xml:space="preserve">PWR 4</t>
  </si>
  <si>
    <t xml:space="preserve">Abyss Wanderer's Boots</t>
  </si>
  <si>
    <t xml:space="preserve">Legs</t>
  </si>
  <si>
    <t xml:space="preserve">Ascended Outlaw Breeches</t>
  </si>
  <si>
    <t xml:space="preserve">Stronger Under Pressure</t>
  </si>
  <si>
    <t xml:space="preserve">Autumn Boots</t>
  </si>
  <si>
    <t xml:space="preserve">Azure Sentinel Boots</t>
  </si>
  <si>
    <t xml:space="preserve">Bluesteel Boots</t>
  </si>
  <si>
    <t xml:space="preserve">Bluestone Boots</t>
  </si>
  <si>
    <t xml:space="preserve">I'm Blue</t>
  </si>
  <si>
    <t xml:space="preserve">Brilliant Boots</t>
  </si>
  <si>
    <t xml:space="preserve">Broodplate Sabatons</t>
  </si>
  <si>
    <t xml:space="preserve">Gut Rot</t>
  </si>
  <si>
    <t xml:space="preserve">Celestial Boots</t>
  </si>
  <si>
    <t xml:space="preserve">Cosmic Connection</t>
  </si>
  <si>
    <t xml:space="preserve">Celtorian Sabatons</t>
  </si>
  <si>
    <t xml:space="preserve">Delver Boots</t>
  </si>
  <si>
    <t xml:space="preserve">Surestep</t>
  </si>
  <si>
    <t xml:space="preserve">Enforcer Boots</t>
  </si>
  <si>
    <t xml:space="preserve">Etrean Seige Sabatons</t>
  </si>
  <si>
    <t xml:space="preserve">Evanspear War Boots</t>
  </si>
  <si>
    <t xml:space="preserve">Flameguard Boots</t>
  </si>
  <si>
    <t xml:space="preserve">Fur Boots</t>
  </si>
  <si>
    <t xml:space="preserve">Geta</t>
  </si>
  <si>
    <t xml:space="preserve">Dancing Steps Of War</t>
  </si>
  <si>
    <t xml:space="preserve">Glassdancer Shinwraps</t>
  </si>
  <si>
    <t xml:space="preserve">Grand Authority Sabatons</t>
  </si>
  <si>
    <t xml:space="preserve">Grand Boots</t>
  </si>
  <si>
    <t xml:space="preserve">Hardened Enforcer Boots</t>
  </si>
  <si>
    <t xml:space="preserve">Enforcer's Technique</t>
  </si>
  <si>
    <t xml:space="preserve">Imperial Boots</t>
  </si>
  <si>
    <t xml:space="preserve">Iron Boots</t>
  </si>
  <si>
    <t xml:space="preserve">Leather Boots</t>
  </si>
  <si>
    <t xml:space="preserve">Legion Boots</t>
  </si>
  <si>
    <t xml:space="preserve">Marrowmade Boots</t>
  </si>
  <si>
    <t xml:space="preserve">Osseous Surge, Surestep</t>
  </si>
  <si>
    <t xml:space="preserve">Mercenary's Boots</t>
  </si>
  <si>
    <t xml:space="preserve">Novice Boots</t>
  </si>
  <si>
    <t xml:space="preserve">Ossified Phalanx Boots</t>
  </si>
  <si>
    <t xml:space="preserve">Alloyed Soles</t>
  </si>
  <si>
    <t xml:space="preserve">Phalanx Heavy Boots</t>
  </si>
  <si>
    <t xml:space="preserve">Ranger's Boots</t>
  </si>
  <si>
    <t xml:space="preserve">Redsteel Boots</t>
  </si>
  <si>
    <t xml:space="preserve">Reinforced War Boots</t>
  </si>
  <si>
    <t xml:space="preserve">Repeated Blows</t>
  </si>
  <si>
    <t xml:space="preserve">Ringing Scholar's Boots</t>
  </si>
  <si>
    <t xml:space="preserve">Shock Trooper Boots</t>
  </si>
  <si>
    <t xml:space="preserve">Silver Sabatons</t>
  </si>
  <si>
    <t xml:space="preserve">Specialist Boots</t>
  </si>
  <si>
    <t xml:space="preserve">Flashwind</t>
  </si>
  <si>
    <t xml:space="preserve">Star Boots</t>
  </si>
  <si>
    <t xml:space="preserve">Tracker's Boots</t>
  </si>
  <si>
    <t xml:space="preserve">Vanguard Boots</t>
  </si>
  <si>
    <t xml:space="preserve">Wartreads of Enmity</t>
  </si>
  <si>
    <t xml:space="preserve">Western Outlaw Breeches</t>
  </si>
  <si>
    <t xml:space="preserve">Winter Corps Boots</t>
  </si>
  <si>
    <t xml:space="preserve">Woodland Boots</t>
  </si>
  <si>
    <t xml:space="preserve">Woodland Terrain</t>
  </si>
  <si>
    <t xml:space="preserve">Akira's Ring</t>
  </si>
  <si>
    <t xml:space="preserve">Ring</t>
  </si>
  <si>
    <t xml:space="preserve">Armorer's Ring</t>
  </si>
  <si>
    <t xml:space="preserve">Blindseer's Ring</t>
  </si>
  <si>
    <t xml:space="preserve">Bloodiron Ring</t>
  </si>
  <si>
    <t xml:space="preserve">Bone Ring</t>
  </si>
  <si>
    <t xml:space="preserve">Chained Ring</t>
  </si>
  <si>
    <t xml:space="preserve">Charged Ring</t>
  </si>
  <si>
    <t xml:space="preserve">Cryptwaker's Ring</t>
  </si>
  <si>
    <t xml:space="preserve">Dawnfist's Ring</t>
  </si>
  <si>
    <t xml:space="preserve">Dazed Band</t>
  </si>
  <si>
    <t xml:space="preserve">Diver's Ring</t>
  </si>
  <si>
    <t xml:space="preserve">Ferryman's Ring</t>
  </si>
  <si>
    <t xml:space="preserve">Freestyler's Band</t>
  </si>
  <si>
    <t xml:space="preserve">Gold Ring</t>
  </si>
  <si>
    <t xml:space="preserve">Heavy Hands Ring</t>
  </si>
  <si>
    <t xml:space="preserve">Light Eater Ring</t>
  </si>
  <si>
    <t xml:space="preserve">Maestro's Ring</t>
  </si>
  <si>
    <t xml:space="preserve">Moon Ring</t>
  </si>
  <si>
    <t xml:space="preserve">Poser's Ring</t>
  </si>
  <si>
    <t xml:space="preserve">Prophet's Ring</t>
  </si>
  <si>
    <t xml:space="preserve">Purifying Ring</t>
  </si>
  <si>
    <t xml:space="preserve">Ring of Wisps</t>
  </si>
  <si>
    <t xml:space="preserve">Rosen's Ring</t>
  </si>
  <si>
    <t xml:space="preserve">Saint Jay's Ring</t>
  </si>
  <si>
    <t xml:space="preserve">Silver Ring</t>
  </si>
  <si>
    <t xml:space="preserve">Transfusion Ring</t>
  </si>
  <si>
    <t xml:space="preserve">Waning Ring</t>
  </si>
  <si>
    <t xml:space="preserve">Windmill Ring</t>
  </si>
  <si>
    <t xml:space="preserve">Adventurer's Scarf</t>
  </si>
  <si>
    <t xml:space="preserve">Torso</t>
  </si>
  <si>
    <t xml:space="preserve">Amedan Pendant</t>
  </si>
  <si>
    <t xml:space="preserve">Brilliant Cape</t>
  </si>
  <si>
    <t xml:space="preserve">Canticlysm Pendant</t>
  </si>
  <si>
    <t xml:space="preserve">Confessor's Charm</t>
  </si>
  <si>
    <t xml:space="preserve">Crawling Necktie</t>
  </si>
  <si>
    <t xml:space="preserve">Curseblood Pendant</t>
  </si>
  <si>
    <t xml:space="preserve">Dark Owl Cape</t>
  </si>
  <si>
    <t xml:space="preserve">Death's-Head Necktie</t>
  </si>
  <si>
    <t xml:space="preserve">Etrean Sashimono</t>
  </si>
  <si>
    <t xml:space="preserve">Traditional Execution</t>
  </si>
  <si>
    <t xml:space="preserve">Fauld of Enmity</t>
  </si>
  <si>
    <t xml:space="preserve">Fleet Warden Cape</t>
  </si>
  <si>
    <t xml:space="preserve">Gale Enhanced Beads</t>
  </si>
  <si>
    <t xml:space="preserve">Focused Strikes</t>
  </si>
  <si>
    <t xml:space="preserve">Grand Pathfinder's Backpack</t>
  </si>
  <si>
    <t xml:space="preserve">Imperator's Fury</t>
  </si>
  <si>
    <t xml:space="preserve">Brute Strength</t>
  </si>
  <si>
    <t xml:space="preserve">Jadeite Megalodaunt</t>
  </si>
  <si>
    <t xml:space="preserve">Good Luck Charm</t>
  </si>
  <si>
    <t xml:space="preserve">Lightkeeper's Medallion</t>
  </si>
  <si>
    <t xml:space="preserve">Elegy of Light</t>
  </si>
  <si>
    <t xml:space="preserve">Maljuror Choker</t>
  </si>
  <si>
    <t xml:space="preserve">Maljuror Jougs</t>
  </si>
  <si>
    <t xml:space="preserve">Mantle of Enmity</t>
  </si>
  <si>
    <t xml:space="preserve">Heartwing Beat</t>
  </si>
  <si>
    <t xml:space="preserve">Monastery Beads</t>
  </si>
  <si>
    <t xml:space="preserve">Moonseye Pendant</t>
  </si>
  <si>
    <t xml:space="preserve">Nomad Pendant</t>
  </si>
  <si>
    <t xml:space="preserve">Pathfinder Lantern</t>
  </si>
  <si>
    <t xml:space="preserve">Pathfinder's Backpack</t>
  </si>
  <si>
    <t xml:space="preserve">Pendant of Order</t>
  </si>
  <si>
    <t xml:space="preserve">Plain Cape</t>
  </si>
  <si>
    <t xml:space="preserve">Red Eye Pendant</t>
  </si>
  <si>
    <t xml:space="preserve">Regenerative Pendant</t>
  </si>
  <si>
    <t xml:space="preserve">Blood Pact</t>
  </si>
  <si>
    <t xml:space="preserve">Revitalizing Pendant</t>
  </si>
  <si>
    <t xml:space="preserve">Praise The Sun</t>
  </si>
  <si>
    <t xml:space="preserve">Ringing Scholar's Necktie</t>
  </si>
  <si>
    <t xml:space="preserve">Sandrunner Scarf</t>
  </si>
  <si>
    <t xml:space="preserve">Seafarer Pendant</t>
  </si>
  <si>
    <t xml:space="preserve">Shrouded Cape</t>
  </si>
  <si>
    <t xml:space="preserve">Suncross Pendant</t>
  </si>
  <si>
    <t xml:space="preserve">Threadwork Kilt</t>
  </si>
  <si>
    <t xml:space="preserve">Thresher Charm</t>
  </si>
  <si>
    <t xml:space="preserve">Thresher Thrasher</t>
  </si>
  <si>
    <t xml:space="preserve">Tiran Pendant</t>
  </si>
  <si>
    <t xml:space="preserve">Featherfall</t>
  </si>
  <si>
    <t xml:space="preserve">Trickster's Scarf</t>
  </si>
  <si>
    <t xml:space="preserve">PWR 7</t>
  </si>
  <si>
    <t xml:space="preserve">Varicosa Medallion</t>
  </si>
  <si>
    <t xml:space="preserve">Warmaster's Medallion</t>
  </si>
  <si>
    <t xml:space="preserve">Actions Speak Louder</t>
  </si>
  <si>
    <t xml:space="preserve">Whaler Scarf</t>
  </si>
  <si>
    <t xml:space="preserve">Whistling Periapt</t>
  </si>
  <si>
    <t xml:space="preserve">Whistleguard</t>
  </si>
  <si>
    <t xml:space="preserve">Enchant</t>
  </si>
  <si>
    <t xml:space="preserve">Always-on hit multiplier</t>
  </si>
  <si>
    <t xml:space="preserve">Added PEN</t>
  </si>
  <si>
    <t xml:space="preserve">Sometimes (shown, not counted)</t>
  </si>
  <si>
    <t xml:space="preserve">Extra damage trigger</t>
  </si>
  <si>
    <t xml:space="preserve">What it does</t>
  </si>
  <si>
    <t xml:space="preserve">None</t>
  </si>
  <si>
    <t xml:space="preserve">Deferred</t>
  </si>
  <si>
    <t xml:space="preserve">+7% weapon damage, dealt over time (10% every 0.5s).</t>
  </si>
  <si>
    <t xml:space="preserve">Curse of the Bloodthirsty</t>
  </si>
  <si>
    <t xml:space="preserve">+10% damage on strike; drains your blood when you miss.</t>
  </si>
  <si>
    <t xml:space="preserve">Chilling</t>
  </si>
  <si>
    <t xml:space="preserve">M1s deal +4% as a separate Frostdraw hit (+10% after Chilling procs). Bottom Freeze every 3/4/5 hits.</t>
  </si>
  <si>
    <t xml:space="preserve">Sear</t>
  </si>
  <si>
    <t xml:space="preserve">+5% PEN. Cauterize stacks add more PEN per hit (up to +40%, past the cap); drains thirst.</t>
  </si>
  <si>
    <t xml:space="preserve">Heroism</t>
  </si>
  <si>
    <t xml:space="preserve">+4% damage per 5% health above 75% or below 25%: up to +20% at full or near-zero health.</t>
  </si>
  <si>
    <t xml:space="preserve">Grim</t>
  </si>
  <si>
    <t xml:space="preserve">After 4/5/5 hits the target takes +25% damage and +50% posture damage from everything.</t>
  </si>
  <si>
    <t xml:space="preserve">Storm</t>
  </si>
  <si>
    <t xml:space="preserve">Thundercall hit on strike (5s cooldown), doubled in rain</t>
  </si>
  <si>
    <t xml:space="preserve">On strike: 16.5% of weapon damage as Thundercall (5s cooldown), 33% in rain.</t>
  </si>
  <si>
    <t xml:space="preserve">Stormbreaker</t>
  </si>
  <si>
    <t xml:space="preserve">Thundercall hit on strike (5s cooldown)</t>
  </si>
  <si>
    <t xml:space="preserve">Same strike proc as Storm; your critical becomes a weapon throw for 40 + 30 flat Thundercall damage.</t>
  </si>
  <si>
    <t xml:space="preserve">Umbral Knight</t>
  </si>
  <si>
    <t xml:space="preserve">parryable follow-up (5s cooldown)</t>
  </si>
  <si>
    <t xml:space="preserve">On strike: the Umbral Knight hits for 20% of weapon damage after 0.25s (5s cooldown).</t>
  </si>
  <si>
    <t xml:space="preserve">Bluster</t>
  </si>
  <si>
    <t xml:space="preserve">explosion after a 10s countdown</t>
  </si>
  <si>
    <t xml:space="preserve">After 3/4/5 hits, a countdown ends in an explosion: 27.5 + 0.25 × weapon stat (max 52.5).</t>
  </si>
  <si>
    <t xml:space="preserve">Detonation</t>
  </si>
  <si>
    <t xml:space="preserve">typeless AoE every 3/4/5 hits</t>
  </si>
  <si>
    <t xml:space="preserve">After 3/4/5 hits, a 10 damage explosion that auto-grips humanoids.</t>
  </si>
  <si>
    <t xml:space="preserve">Stone</t>
  </si>
  <si>
    <t xml:space="preserve">true damage when a weapon hit guardbreaks</t>
  </si>
  <si>
    <t xml:space="preserve">+0.25 true damage per weapon point when your weapon attacks guardbreak.</t>
  </si>
  <si>
    <t xml:space="preserve">Wild</t>
  </si>
  <si>
    <t xml:space="preserve">AoE to other enemies (not your target)</t>
  </si>
  <si>
    <t xml:space="preserve">85% of scaled damage hits others nearby as typeless AoE.</t>
  </si>
  <si>
    <t xml:space="preserve">Astral</t>
  </si>
  <si>
    <t xml:space="preserve">+20% weapon damage in PvE only (bypasses the PvE cap). Stars on criticals and after 3 parries.</t>
  </si>
  <si>
    <t xml:space="preserve">Curse of the Covetous</t>
  </si>
  <si>
    <t xml:space="preserve">Base damage −7.5%, +0.01% per Note held: break-even at 7.5k Notes, +7.5% at 15k.</t>
  </si>
  <si>
    <t xml:space="preserve">Blazing</t>
  </si>
  <si>
    <t xml:space="preserve">Sets enemies ablaze after 1/2/3 hits (Heavy/Medium/Light) for 5 seconds.</t>
  </si>
  <si>
    <t xml:space="preserve">Windswept</t>
  </si>
  <si>
    <t xml:space="preserve">Applies Winded (slower swings) after 1/2/3 hits; lasts 0.08s per weapon point.</t>
  </si>
  <si>
    <t xml:space="preserve">Obfuscation</t>
  </si>
  <si>
    <t xml:space="preserve">Adds chip damage: 25% Heavy, 20% Medium, 15% Light.</t>
  </si>
  <si>
    <t xml:space="preserve">Vampirism</t>
  </si>
  <si>
    <t xml:space="preserve">15% of damage dealt comes back as temporary health.</t>
  </si>
  <si>
    <t xml:space="preserve">Nemesis</t>
  </si>
  <si>
    <t xml:space="preserve">Basic attacks mark enemies; your critical teleports to all marked targets for 25 damage.</t>
  </si>
  <si>
    <t xml:space="preserve">Kyrsan Chill</t>
  </si>
  <si>
    <t xml:space="preserve">Criticals apply a stacking slow; full Freeze at 5 stacks.</t>
  </si>
  <si>
    <t xml:space="preserve">Suffocated</t>
  </si>
  <si>
    <t xml:space="preserve">Criticals, uppercuts, flourishes and offhand hits apply Suffocation.</t>
  </si>
  <si>
    <t xml:space="preserve">Elastic</t>
  </si>
  <si>
    <t xml:space="preserve">Every M1 pulls enemies toward you.</t>
  </si>
  <si>
    <t xml:space="preserve">Erebus</t>
  </si>
  <si>
    <t xml:space="preserve">Criticals put one of the opponent's mantras on a 1 minute cooldown.</t>
  </si>
  <si>
    <t xml:space="preserve">Harrowing</t>
  </si>
  <si>
    <t xml:space="preserve">Hides the opponent's health, posture and armor bars for 12 seconds.</t>
  </si>
  <si>
    <t xml:space="preserve">Metal</t>
  </si>
  <si>
    <t xml:space="preserve">Hits drain the opponent's armor to repair yours.</t>
  </si>
  <si>
    <t xml:space="preserve">Nightbringer</t>
  </si>
  <si>
    <t xml:space="preserve">Hits steal ether based on scaled damage (needs the Gaunt Man's Trial).</t>
  </si>
  <si>
    <t xml:space="preserve">Providence Thorns</t>
  </si>
  <si>
    <t xml:space="preserve">PvP: parrying 3 attacks in 3s deals 4% of the opponent's max health.</t>
  </si>
  <si>
    <t xml:space="preserve">Solar</t>
  </si>
  <si>
    <t xml:space="preserve">Criticals, uppercuts and flourishes mark targets; vents on marked targets drain their tempo.</t>
  </si>
  <si>
    <t xml:space="preserve">Tears of the Edenkite</t>
  </si>
  <si>
    <t xml:space="preserve">Criticals and flourishes fire homing projectiles that stun (20s cooldown).</t>
  </si>
  <si>
    <t xml:space="preserve">Gluttony</t>
  </si>
  <si>
    <t xml:space="preserve">Hits steal hunger and thirst.</t>
  </si>
  <si>
    <t xml:space="preserve">Curse of Yun'Shul</t>
  </si>
  <si>
    <t xml:space="preserve">Chance on strike to deal 3–6% of your max health to the target, or take 7% yourself (10s cooldown).</t>
  </si>
  <si>
    <t xml:space="preserve">Curse of Ysley's Ember</t>
  </si>
  <si>
    <t xml:space="preserve">Explosion every 3/4/5 hits for 5.5–37 random damage, and gives the target 0–50 temp health.</t>
  </si>
  <si>
    <t xml:space="preserve">Curse of the Authoritative</t>
  </si>
  <si>
    <t xml:space="preserve">+50% posture damage for 30s after criticals; you take 50% more damage when guardbroken.</t>
  </si>
  <si>
    <t xml:space="preserve">Curse of Repulsion</t>
  </si>
  <si>
    <t xml:space="preserve">Blocking knocks attackers back; you take 30% chip when it procs.</t>
  </si>
  <si>
    <t xml:space="preserve">Curse of the Unbidden</t>
  </si>
  <si>
    <t xml:space="preserve">Basic attacks drain ether; your critical becomes a posture-restoring counter.</t>
  </si>
  <si>
    <t xml:space="preserve">Curse of Void</t>
  </si>
  <si>
    <t xml:space="preserve">Hits apply 40% anti-heal for 30s (needs the Gaunt Man's Trial).</t>
  </si>
  <si>
    <t xml:space="preserve">Curse of the No Life King</t>
  </si>
  <si>
    <t xml:space="preserve">Health regen from weapon investment, double blood loss, and sanity drain.</t>
  </si>
  <si>
    <t xml:space="preserve">Parasol's Blight</t>
  </si>
  <si>
    <t xml:space="preserve">Players who die while blighted explode into a random monster.</t>
  </si>
  <si>
    <t xml:space="preserve">Stat options (any one)</t>
  </si>
  <si>
    <t xml:space="preserve">Note</t>
  </si>
  <si>
    <t xml:space="preserve">Quest only.</t>
  </si>
  <si>
    <t xml:space="preserve">WLL 40 · after Breathing Exercise, Conquer your Fears, Disbelief</t>
  </si>
  <si>
    <t xml:space="preserve">Needs the three Mental Fortress talents.</t>
  </si>
  <si>
    <t xml:space="preserve">Can't be re-obtained if broken.</t>
  </si>
  <si>
    <t xml:space="preserve">Beat Alirian in a race.</t>
  </si>
  <si>
    <t xml:space="preserve">Needs 30 Medallions.</t>
  </si>
  <si>
    <t xml:space="preserve">Quest only. Can't be re-obtained if broken.</t>
  </si>
  <si>
    <t xml:space="preserve">75 combined weapon · STR 25 · AGL 25 OR 75 combined weapon · STR 25 · CHA 25</t>
  </si>
  <si>
    <t xml:space="preserve">Weapon stat requirements on weapons are 25 lower. Can't be re-obtained if broken.</t>
  </si>
  <si>
    <t xml:space="preserve">Change your appearance 12 times.</t>
  </si>
  <si>
    <t xml:space="preserve">Re-obtainable if broken.</t>
  </si>
  <si>
    <t xml:space="preserve">MED 75 OR 90 combined weapon · STR 25 OR 90 combined weapon · AGL 25</t>
  </si>
  <si>
    <t xml:space="preserve">Talk to all 5 Obelisks. Can't be re-obtained if broken.</t>
  </si>
  <si>
    <t xml:space="preserve">Progression can't be skipped with Knowledge.</t>
  </si>
  <si>
    <t xml:space="preserve">Preset</t>
  </si>
  <si>
    <t xml:space="preserve">Weapon target</t>
  </si>
  <si>
    <t xml:space="preserve">After shrine</t>
  </si>
  <si>
    <t xml:space="preserve">Clean Slate</t>
  </si>
  <si>
    <t xml:space="preserve">0 in everything · no oath, weapon, attunement, talents or equipment</t>
  </si>
  <si>
    <t xml:space="preserve">MED 0</t>
  </si>
  <si>
    <t xml:space="preserve">{}</t>
  </si>
  <si>
    <t xml:space="preserve">Bossraid</t>
  </si>
  <si>
    <t xml:space="preserve">FTD 75 + WLL 50 before the shrine (it brings FTD down) · Heavy 90</t>
  </si>
  <si>
    <t xml:space="preserve">HVY 90</t>
  </si>
  <si>
    <t xml:space="preserve">{"FTD":75,"WLL":50}</t>
  </si>
  <si>
    <t xml:space="preserve">Bossraid Mage</t>
  </si>
  <si>
    <t xml:space="preserve">FTD 75 + WLL 50 + INT 40 before the shrine · attunement 100 of your choice, no weapon</t>
  </si>
  <si>
    <t xml:space="preserve">{"ICE":100}</t>
  </si>
  <si>
    <t xml:space="preserve">{"FTD":75,"WLL":50,"INT":40}</t>
  </si>
  <si>
    <t xml:space="preserve">Elder / Enmity</t>
  </si>
  <si>
    <t xml:space="preserve">Bladeharper Ironsing: CHA 40 before (shrinks down) · INT 1 before, 90 after · STR 25 · Ironsing 80, Shadowcast 20 · Shattered Katana</t>
  </si>
  <si>
    <t xml:space="preserve">{"IRN":80,"SDW":20}</t>
  </si>
  <si>
    <t xml:space="preserve">{"CHA":40}</t>
  </si>
  <si>
    <t xml:space="preserve">{"INT":90,"STR":25}</t>
  </si>
  <si>
    <t xml:space="preserve">Brick Wall Dawnwalker</t>
  </si>
  <si>
    <t xml:space="preserve">FTD 100 + WLL 100 before (Brick Wall), shrine brings them to 75 · Frostdraw 80 + Flamecharm 40, steam path · Gran Sudaruska</t>
  </si>
  <si>
    <t xml:space="preserve">{"ICE":80,"FLM":40}</t>
  </si>
  <si>
    <t xml:space="preserve">{"FTD":100,"WLL":100}</t>
  </si>
  <si>
    <t xml:space="preserve">{"FTD":75,"WLL":75}</t>
  </si>
  <si>
    <t xml:space="preserve">Chime</t>
  </si>
  <si>
    <t xml:space="preserve">STR 40 + AGL 40 + WLL 30 before · FTD 50 after (1 before)</t>
  </si>
  <si>
    <t xml:space="preserve">{"STR":40,"AGL":40,"WLL":30}</t>
  </si>
  <si>
    <t xml:space="preserve">{"FTD":50}</t>
  </si>
  <si>
    <t xml:space="preserve">High Charisma</t>
  </si>
  <si>
    <t xml:space="preserve">CHA 75 + AGL 40 before · FTD 50 after (1 before)</t>
  </si>
  <si>
    <t xml:space="preserve">{"CHA":75,"AGL":40}</t>
  </si>
  <si>
    <t xml:space="preserve">High Strength</t>
  </si>
  <si>
    <t xml:space="preserve">STR 100 + AGL 40 before · FTD 50 after (1 before)</t>
  </si>
  <si>
    <t xml:space="preserve">{"STR":100,"AGL":40}</t>
  </si>
  <si>
    <t xml:space="preserve">Jetstriker Agility</t>
  </si>
  <si>
    <t xml:space="preserve">AGL 75 + STR 40 before · AGL 50, FTD 50 after</t>
  </si>
  <si>
    <t xml:space="preserve">{"AGL":75,"STR":40}</t>
  </si>
  <si>
    <t xml:space="preserve">{"FTD":50,"AGL":50}</t>
  </si>
  <si>
    <t xml:space="preserve">Willpower Tank</t>
  </si>
  <si>
    <t xml:space="preserve">WLL 100 + FTD 100 before · the shrine brings FTD down to about 75</t>
  </si>
  <si>
    <t xml:space="preserve">{"WLL":100,"FTD":100}</t>
  </si>
  <si>
    <t xml:space="preserve">{"FTD":75}</t>
  </si>
  <si>
    <t xml:space="preserve">High Intelligence</t>
  </si>
  <si>
    <t xml:space="preserve">INT 90 + AGL 40 before · FTD 50 after (1 before)</t>
  </si>
  <si>
    <t xml:space="preserve">{"INT":90,"AGL":40}</t>
  </si>
  <si>
    <t xml:space="preserve">STR 40 + AGL 40 before · FTD 90 after (1 before)</t>
  </si>
  <si>
    <t xml:space="preserve">{"STR":40,"AGL":40}</t>
  </si>
  <si>
    <t xml:space="preserve">{"FTD":90}</t>
  </si>
  <si>
    <t xml:space="preserve">Mage</t>
  </si>
  <si>
    <t xml:space="preserve">CHA 55 + INT 30 + WLL 40 before · FTD 50 after (1 before) · attunement 100 of your choice</t>
  </si>
  <si>
    <t xml:space="preserve">{"FLM":100}</t>
  </si>
  <si>
    <t xml:space="preserve">{"CHA":55,"INT":30,"WLL":40}</t>
  </si>
  <si>
    <t xml:space="preserve">No Willpower</t>
  </si>
  <si>
    <t xml:space="preserve">CHA 35 + AGL 40 before · FTD 50 after (1 before) · WLL 0</t>
  </si>
  <si>
    <t xml:space="preserve">{"CHA":35,"AGL":40}</t>
  </si>
  <si>
    <t xml:space="preserve">Name</t>
  </si>
  <si>
    <t xml:space="preserve">Value</t>
  </si>
  <si>
    <t xml:space="preserve">Meaning</t>
  </si>
  <si>
    <t xml:space="preserve">BUDGET</t>
  </si>
  <si>
    <t xml:space="preserve">Stat points a Power 20 character has (330).</t>
  </si>
  <si>
    <t xml:space="preserve">SHRINE_POWER</t>
  </si>
  <si>
    <t xml:space="preserve">The Shrine of Order can only be used at Power 8 or higher.</t>
  </si>
  <si>
    <t xml:space="preserve">SHRINE_POINTS</t>
  </si>
  <si>
    <t xml:space="preserve">Points invested to reach Power 8: 15*8+15.</t>
  </si>
  <si>
    <t xml:space="preserve">SHRINE_MAX_DROP</t>
  </si>
  <si>
    <t xml:space="preserve">Shrine of Order: an attribute never ends more than 25 below its pre-shrine value (attunements are exempt).</t>
  </si>
  <si>
    <t xml:space="preserve">ARMOR</t>
  </si>
  <si>
    <t xml:space="preserve">Generic target armor used for damage numbers: hits are multiplied by 1-(1-PEN)*ARMOR.</t>
  </si>
  <si>
    <t xml:space="preserve">PEN_PHYS</t>
  </si>
  <si>
    <t xml:space="preserve">Physical penetration assumed against your armor (%) when computing your resistance.</t>
  </si>
  <si>
    <t xml:space="preserve">PEN_ELE</t>
  </si>
  <si>
    <t xml:space="preserve">Elemental penetration assumed against your armor (%).</t>
  </si>
  <si>
    <t xml:space="preserve">BASE_HP</t>
  </si>
  <si>
    <t xml:space="preserve">Base health before Power and Fortitude.</t>
  </si>
  <si>
    <t xml:space="preserve">HP_PER_POWER</t>
  </si>
  <si>
    <t xml:space="preserve">Health per Power level (Power 20 assumed for gear).</t>
  </si>
  <si>
    <t xml:space="preserve">HP_PER_FTD_TO_50</t>
  </si>
  <si>
    <t xml:space="preserve">Health per Fortitude point up to 50.</t>
  </si>
  <si>
    <t xml:space="preserve">HP_PER_FTD_PAST_50</t>
  </si>
  <si>
    <t xml:space="preserve">Health per Fortitude point above 50.</t>
  </si>
  <si>
    <t xml:space="preserve">DMG_SOFTCAP</t>
  </si>
  <si>
    <t xml:space="preserve">Talent damage bonus counts in full up to +25%, half past it.</t>
  </si>
  <si>
    <t xml:space="preserve">DMG_HARDCAP</t>
  </si>
  <si>
    <t xml:space="preserve">Talent damage bonus is capped at +50%.</t>
  </si>
  <si>
    <t xml:space="preserve">PEN_CAP</t>
  </si>
  <si>
    <t xml:space="preserve">Weapon PEN is capped at 50% unless a talent removes the cap.</t>
  </si>
  <si>
    <t xml:space="preserve">STR_PEN_PER_10</t>
  </si>
  <si>
    <t xml:space="preserve">Every 10 Strength adds 1% weapon PEN.</t>
  </si>
  <si>
    <t xml:space="preserve">SOULBREAKER_DMG</t>
  </si>
  <si>
    <t xml:space="preserve">Soulbreaker oath adds +2.5% damage bonus.</t>
  </si>
  <si>
    <t xml:space="preserve">TRAIT_TOTAL</t>
  </si>
  <si>
    <t xml:space="preserve">Trait points in total.</t>
  </si>
  <si>
    <t xml:space="preserve">TRAIT_MAX</t>
  </si>
  <si>
    <t xml:space="preserve">Most points in one trait.</t>
  </si>
  <si>
    <t xml:space="preserve">VIT_HP</t>
  </si>
  <si>
    <t xml:space="preserve">Health per Vitality point.</t>
  </si>
  <si>
    <t xml:space="preserve">ERU_ETHER</t>
  </si>
  <si>
    <t xml:space="preserve">Ether per Erudition point.</t>
  </si>
  <si>
    <t xml:space="preserve">ERU_TEMPO</t>
  </si>
  <si>
    <t xml:space="preserve">Tempo per Erudition point (and +5% tempo gain).</t>
  </si>
  <si>
    <t xml:space="preserve">PRO_SCALING</t>
  </si>
  <si>
    <t xml:space="preserve">Proficiency: weapon stat scaling multiplied by 1+6.5% per point.</t>
  </si>
  <si>
    <t xml:space="preserve">PRO_PEN</t>
  </si>
  <si>
    <t xml:space="preserve">Proficiency: weapon PEN per point.</t>
  </si>
  <si>
    <t xml:space="preserve">SNG_SCALING</t>
  </si>
  <si>
    <t xml:space="preserve">Songchant: mantra stat scaling multiplied by 1+6.5% per point.</t>
  </si>
  <si>
    <t xml:space="preserve">SNG_PEN</t>
  </si>
  <si>
    <t xml:space="preserve">Songchant: mantra PEN per point.</t>
  </si>
  <si>
    <t xml:space="preserve">SNG_OATH_DMG</t>
  </si>
  <si>
    <t xml:space="preserve">Songchant: oath and monster mantra damage per point (shown only).</t>
  </si>
  <si>
    <t xml:space="preserve">TALENT_CAP_BASE</t>
  </si>
  <si>
    <t xml:space="preserve">Talent cap = 52 + (12 - normal mantras) x 2.</t>
  </si>
  <si>
    <t xml:space="preserve">SYN_PTS</t>
  </si>
  <si>
    <t xml:space="preserve">One synergy weight counts like a talent 15% of builds take.</t>
  </si>
  <si>
    <t xml:space="preserve">COMBO_PTS</t>
  </si>
  <si>
    <t xml:space="preserve">Value of a true mantra combo in the optimizer.</t>
  </si>
  <si>
    <t xml:space="preserve">Equipment pip values (health / physical / elemental per pip, by slot and rarity)</t>
  </si>
  <si>
    <t xml:space="preserve">Pip stat</t>
  </si>
  <si>
    <t xml:space="preserve">Common / Uncommon / Rare / Legendary</t>
  </si>
  <si>
    <t xml:space="preserve">U:4 / R:4 / L:5</t>
  </si>
  <si>
    <t xml:space="preserve">R:2 / L:4</t>
  </si>
  <si>
    <t xml:space="preserve">R:3 / L:4</t>
  </si>
  <si>
    <t xml:space="preserve">C:3 / U:4 / R:4 / L:5</t>
  </si>
  <si>
    <t xml:space="preserve">U:3 / R:4 / L:5</t>
  </si>
  <si>
    <t xml:space="preserve">U:2 / R:3 / L:4</t>
  </si>
</sst>
</file>

<file path=xl/styles.xml><?xml version="1.0" encoding="utf-8"?>
<styleSheet xmlns="http://schemas.openxmlformats.org/spreadsheetml/2006/main">
  <numFmts count="6">
    <numFmt numFmtId="164" formatCode="General"/>
    <numFmt numFmtId="165" formatCode="General"/>
    <numFmt numFmtId="166" formatCode="0.0%"/>
    <numFmt numFmtId="167" formatCode="0%"/>
    <numFmt numFmtId="168" formatCode="0.0"/>
    <numFmt numFmtId="169"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name val="Arial"/>
      <family val="0"/>
      <charset val="1"/>
    </font>
    <font>
      <b val="true"/>
      <sz val="10"/>
      <color rgb="FFFFFFFF"/>
      <name val="Arial"/>
      <family val="0"/>
      <charset val="1"/>
    </font>
    <font>
      <sz val="10"/>
      <color rgb="FF0000FF"/>
      <name val="Arial"/>
      <family val="0"/>
      <charset val="1"/>
    </font>
    <font>
      <i val="true"/>
      <sz val="9"/>
      <name val="Arial"/>
      <family val="0"/>
      <charset val="1"/>
    </font>
    <font>
      <sz val="9"/>
      <color rgb="FF666666"/>
      <name val="Arial"/>
      <family val="0"/>
      <charset val="1"/>
    </font>
  </fonts>
  <fills count="5">
    <fill>
      <patternFill patternType="none"/>
    </fill>
    <fill>
      <patternFill patternType="gray125"/>
    </fill>
    <fill>
      <patternFill patternType="solid">
        <fgColor rgb="FF34495E"/>
        <bgColor rgb="FF333399"/>
      </patternFill>
    </fill>
    <fill>
      <patternFill patternType="solid">
        <fgColor rgb="FFFFF9C4"/>
        <bgColor rgb="FFFFFF99"/>
      </patternFill>
    </fill>
    <fill>
      <patternFill patternType="solid">
        <fgColor rgb="FFE8F5E9"/>
        <bgColor rgb="FFFFFFF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8" fontId="6" fillId="4" borderId="1" xfId="0" applyFont="true" applyBorder="true" applyAlignment="false" applyProtection="false">
      <alignment horizontal="general" vertical="bottom" textRotation="0" wrapText="false" indent="0" shrinkToFit="false"/>
      <protection locked="true" hidden="false"/>
    </xf>
    <xf numFmtId="169" fontId="6" fillId="4"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6" fillId="4" borderId="0" xfId="0" applyFont="true" applyBorder="false" applyAlignment="false" applyProtection="false">
      <alignment horizontal="general" vertical="bottom" textRotation="0" wrapText="false" indent="0" shrinkToFit="false"/>
      <protection locked="true" hidden="false"/>
    </xf>
    <xf numFmtId="168" fontId="6"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4495E"/>
          <bgColor rgb="FF000000"/>
        </patternFill>
      </fill>
    </dxf>
    <dxf>
      <fill>
        <patternFill patternType="solid">
          <bgColor rgb="FF000000"/>
        </patternFill>
      </fill>
    </dxf>
    <dxf>
      <fill>
        <patternFill patternType="solid">
          <fgColor rgb="FFFFFFFF"/>
          <bgColor rgb="FF000000"/>
        </patternFill>
      </fill>
    </dxf>
    <dxf>
      <fill>
        <patternFill patternType="solid">
          <fgColor rgb="FFE8F5E9"/>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9C4"/>
      <rgbColor rgb="FFE8F5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4495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4"/>
      <c r="B5" s="3"/>
    </row>
    <row r="6" customFormat="false" ht="15" hidden="false" customHeight="false" outlineLevel="0" collapsed="false">
      <c r="A6" s="2" t="s">
        <v>5</v>
      </c>
      <c r="B6" s="5" t="s">
        <v>6</v>
      </c>
    </row>
    <row r="7" customFormat="false" ht="23.85" hidden="false" customHeight="false" outlineLevel="0" collapsed="false">
      <c r="A7" s="4" t="s">
        <v>7</v>
      </c>
      <c r="B7" s="3" t="s">
        <v>8</v>
      </c>
    </row>
    <row r="8" customFormat="false" ht="15" hidden="false" customHeight="false" outlineLevel="0" collapsed="false">
      <c r="A8" s="4" t="s">
        <v>9</v>
      </c>
      <c r="B8" s="3" t="s">
        <v>10</v>
      </c>
    </row>
    <row r="9" customFormat="false" ht="23.85" hidden="false" customHeight="false" outlineLevel="0" collapsed="false">
      <c r="A9" s="4" t="s">
        <v>11</v>
      </c>
      <c r="B9" s="3" t="s">
        <v>12</v>
      </c>
    </row>
    <row r="10" customFormat="false" ht="15" hidden="false" customHeight="false" outlineLevel="0" collapsed="false">
      <c r="A10" s="4" t="s">
        <v>13</v>
      </c>
      <c r="B10" s="3" t="s">
        <v>14</v>
      </c>
    </row>
    <row r="11" customFormat="false" ht="15" hidden="false" customHeight="false" outlineLevel="0" collapsed="false">
      <c r="A11" s="4" t="s">
        <v>15</v>
      </c>
      <c r="B11" s="3" t="s">
        <v>16</v>
      </c>
    </row>
    <row r="12" customFormat="false" ht="15" hidden="false" customHeight="false" outlineLevel="0" collapsed="false">
      <c r="A12" s="4" t="s">
        <v>17</v>
      </c>
      <c r="B12" s="3" t="s">
        <v>18</v>
      </c>
    </row>
    <row r="13" customFormat="false" ht="15" hidden="false" customHeight="false" outlineLevel="0" collapsed="false">
      <c r="A13" s="4" t="s">
        <v>19</v>
      </c>
      <c r="B13" s="3" t="s">
        <v>20</v>
      </c>
    </row>
    <row r="14" customFormat="false" ht="15" hidden="false" customHeight="false" outlineLevel="0" collapsed="false">
      <c r="A14" s="4" t="s">
        <v>21</v>
      </c>
      <c r="B14" s="3" t="s">
        <v>22</v>
      </c>
    </row>
    <row r="15" customFormat="false" ht="15" hidden="false" customHeight="false" outlineLevel="0" collapsed="false">
      <c r="A15" s="4" t="s">
        <v>23</v>
      </c>
      <c r="B15" s="3" t="s">
        <v>24</v>
      </c>
    </row>
    <row r="16" customFormat="false" ht="15" hidden="false" customHeight="false" outlineLevel="0" collapsed="false">
      <c r="A16" s="4" t="s">
        <v>25</v>
      </c>
      <c r="B16" s="3" t="s">
        <v>26</v>
      </c>
    </row>
    <row r="17" customFormat="false" ht="15" hidden="false" customHeight="false" outlineLevel="0" collapsed="false">
      <c r="A17" s="4" t="s">
        <v>27</v>
      </c>
      <c r="B17" s="3" t="s">
        <v>28</v>
      </c>
    </row>
    <row r="18" customFormat="false" ht="15" hidden="false" customHeight="false" outlineLevel="0" collapsed="false">
      <c r="A18" s="4"/>
      <c r="B18" s="3"/>
    </row>
    <row r="19" customFormat="false" ht="15" hidden="false" customHeight="false" outlineLevel="0" collapsed="false">
      <c r="A19" s="2" t="s">
        <v>29</v>
      </c>
      <c r="B19" s="3" t="s">
        <v>30</v>
      </c>
    </row>
    <row r="20" customFormat="false" ht="35.05" hidden="false" customHeight="false" outlineLevel="0" collapsed="false">
      <c r="A20" s="2" t="s">
        <v>31</v>
      </c>
      <c r="B20" s="3"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6"/>
    <col collapsed="false" customWidth="true" hidden="false" outlineLevel="0" max="4" min="4" style="0" width="14"/>
    <col collapsed="false" customWidth="true" hidden="false" outlineLevel="0" max="5" min="5" style="0" width="10"/>
    <col collapsed="false" customWidth="true" hidden="false" outlineLevel="0" max="6" min="6" style="0" width="16"/>
  </cols>
  <sheetData>
    <row r="1" customFormat="false" ht="17.35" hidden="false" customHeight="false" outlineLevel="0" collapsed="false">
      <c r="A1" s="1" t="s">
        <v>7</v>
      </c>
    </row>
    <row r="2" customFormat="false" ht="15" hidden="false" customHeight="false" outlineLevel="0" collapsed="false">
      <c r="A2" s="4" t="s">
        <v>33</v>
      </c>
    </row>
    <row r="4" customFormat="false" ht="15" hidden="false" customHeight="false" outlineLevel="0" collapsed="false">
      <c r="A4" s="6" t="s">
        <v>34</v>
      </c>
    </row>
    <row r="5" customFormat="false" ht="15" hidden="false" customHeight="false" outlineLevel="0" collapsed="false">
      <c r="A5" s="7" t="s">
        <v>35</v>
      </c>
      <c r="B5" s="7" t="s">
        <v>36</v>
      </c>
      <c r="C5" s="7" t="s">
        <v>37</v>
      </c>
      <c r="D5" s="7" t="s">
        <v>38</v>
      </c>
      <c r="E5" s="7" t="s">
        <v>39</v>
      </c>
      <c r="F5" s="7" t="s">
        <v>40</v>
      </c>
    </row>
    <row r="6" customFormat="false" ht="15" hidden="false" customHeight="false" outlineLevel="0" collapsed="false">
      <c r="A6" s="2" t="s">
        <v>41</v>
      </c>
      <c r="B6" s="4" t="s">
        <v>42</v>
      </c>
      <c r="C6" s="8" t="n">
        <v>1</v>
      </c>
      <c r="D6" s="8" t="n">
        <v>22</v>
      </c>
      <c r="E6" s="8" t="n">
        <v>22</v>
      </c>
      <c r="F6" s="9" t="n">
        <f aca="false">MAX(0,E6-D6)</f>
        <v>0</v>
      </c>
    </row>
    <row r="7" customFormat="false" ht="15" hidden="false" customHeight="false" outlineLevel="0" collapsed="false">
      <c r="A7" s="2" t="s">
        <v>43</v>
      </c>
      <c r="B7" s="4" t="s">
        <v>44</v>
      </c>
      <c r="C7" s="8" t="n">
        <v>50</v>
      </c>
      <c r="D7" s="8" t="n">
        <v>25</v>
      </c>
      <c r="E7" s="8" t="n">
        <v>25</v>
      </c>
      <c r="F7" s="9" t="n">
        <f aca="false">MAX(0,E7-D7)</f>
        <v>0</v>
      </c>
    </row>
    <row r="8" customFormat="false" ht="15" hidden="false" customHeight="false" outlineLevel="0" collapsed="false">
      <c r="A8" s="2" t="s">
        <v>45</v>
      </c>
      <c r="B8" s="4" t="s">
        <v>46</v>
      </c>
      <c r="C8" s="8" t="n">
        <v>40</v>
      </c>
      <c r="D8" s="8" t="n">
        <v>22</v>
      </c>
      <c r="E8" s="8" t="n">
        <v>22</v>
      </c>
      <c r="F8" s="9" t="n">
        <f aca="false">MAX(0,E8-D8)</f>
        <v>0</v>
      </c>
    </row>
    <row r="9" customFormat="false" ht="15" hidden="false" customHeight="false" outlineLevel="0" collapsed="false">
      <c r="A9" s="2" t="s">
        <v>47</v>
      </c>
      <c r="B9" s="4" t="s">
        <v>48</v>
      </c>
      <c r="C9" s="8" t="n">
        <v>0</v>
      </c>
      <c r="D9" s="8" t="n">
        <v>0</v>
      </c>
      <c r="E9" s="8" t="n">
        <v>0</v>
      </c>
      <c r="F9" s="9" t="n">
        <f aca="false">MAX(0,E9-D9)</f>
        <v>0</v>
      </c>
    </row>
    <row r="10" customFormat="false" ht="15" hidden="false" customHeight="false" outlineLevel="0" collapsed="false">
      <c r="A10" s="2" t="s">
        <v>49</v>
      </c>
      <c r="B10" s="4" t="s">
        <v>50</v>
      </c>
      <c r="C10" s="8" t="n">
        <v>40</v>
      </c>
      <c r="D10" s="8" t="n">
        <v>22</v>
      </c>
      <c r="E10" s="8" t="n">
        <v>22</v>
      </c>
      <c r="F10" s="9" t="n">
        <f aca="false">MAX(0,E10-D10)</f>
        <v>0</v>
      </c>
    </row>
    <row r="11" customFormat="false" ht="15" hidden="false" customHeight="false" outlineLevel="0" collapsed="false">
      <c r="A11" s="2" t="s">
        <v>51</v>
      </c>
      <c r="B11" s="4" t="s">
        <v>52</v>
      </c>
      <c r="C11" s="8" t="n">
        <v>1</v>
      </c>
      <c r="D11" s="8" t="n">
        <v>22</v>
      </c>
      <c r="E11" s="8" t="n">
        <v>25</v>
      </c>
      <c r="F11" s="9" t="n">
        <f aca="false">MAX(0,E11-D11)</f>
        <v>3</v>
      </c>
    </row>
    <row r="12" customFormat="false" ht="15" hidden="false" customHeight="false" outlineLevel="0" collapsed="false">
      <c r="A12" s="2" t="s">
        <v>53</v>
      </c>
      <c r="B12" s="4" t="s">
        <v>54</v>
      </c>
      <c r="C12" s="8" t="n">
        <v>0</v>
      </c>
      <c r="D12" s="8" t="n">
        <v>0</v>
      </c>
      <c r="E12" s="8" t="n">
        <v>0</v>
      </c>
      <c r="F12" s="9" t="n">
        <f aca="false">MAX(0,E12-D12)</f>
        <v>0</v>
      </c>
    </row>
    <row r="13" customFormat="false" ht="15" hidden="false" customHeight="false" outlineLevel="0" collapsed="false">
      <c r="A13" s="2" t="s">
        <v>55</v>
      </c>
      <c r="B13" s="4" t="s">
        <v>56</v>
      </c>
      <c r="C13" s="8" t="n">
        <v>1</v>
      </c>
      <c r="D13" s="8" t="n">
        <v>22</v>
      </c>
      <c r="E13" s="8" t="n">
        <v>92</v>
      </c>
      <c r="F13" s="9" t="n">
        <f aca="false">MAX(0,E13-D13)</f>
        <v>70</v>
      </c>
    </row>
    <row r="14" customFormat="false" ht="15" hidden="false" customHeight="false" outlineLevel="0" collapsed="false">
      <c r="A14" s="2" t="s">
        <v>57</v>
      </c>
      <c r="B14" s="4" t="s">
        <v>58</v>
      </c>
      <c r="C14" s="8" t="n">
        <v>0</v>
      </c>
      <c r="D14" s="8" t="n">
        <v>0</v>
      </c>
      <c r="E14" s="8" t="n">
        <v>0</v>
      </c>
      <c r="F14" s="9" t="n">
        <f aca="false">MAX(0,E14-D14)</f>
        <v>0</v>
      </c>
    </row>
    <row r="15" customFormat="false" ht="15" hidden="false" customHeight="false" outlineLevel="0" collapsed="false">
      <c r="A15" s="2" t="s">
        <v>59</v>
      </c>
      <c r="B15" s="4" t="s">
        <v>60</v>
      </c>
      <c r="C15" s="8" t="n">
        <v>0</v>
      </c>
      <c r="D15" s="8" t="n">
        <v>0</v>
      </c>
      <c r="E15" s="8" t="n">
        <v>0</v>
      </c>
      <c r="F15" s="9" t="n">
        <f aca="false">MAX(0,E15-D15)</f>
        <v>0</v>
      </c>
    </row>
    <row r="16" customFormat="false" ht="15" hidden="false" customHeight="false" outlineLevel="0" collapsed="false">
      <c r="A16" s="2" t="s">
        <v>61</v>
      </c>
      <c r="B16" s="4" t="s">
        <v>62</v>
      </c>
      <c r="C16" s="8" t="n">
        <v>0</v>
      </c>
      <c r="D16" s="8" t="n">
        <v>0</v>
      </c>
      <c r="E16" s="8" t="n">
        <v>0</v>
      </c>
      <c r="F16" s="9" t="n">
        <f aca="false">MAX(0,E16-D16)</f>
        <v>0</v>
      </c>
    </row>
    <row r="17" customFormat="false" ht="15" hidden="false" customHeight="false" outlineLevel="0" collapsed="false">
      <c r="A17" s="2" t="s">
        <v>63</v>
      </c>
      <c r="B17" s="4" t="s">
        <v>64</v>
      </c>
      <c r="C17" s="8" t="n">
        <v>50</v>
      </c>
      <c r="D17" s="8" t="n">
        <v>22</v>
      </c>
      <c r="E17" s="8" t="n">
        <v>22</v>
      </c>
      <c r="F17" s="9" t="n">
        <f aca="false">MAX(0,E17-D17)</f>
        <v>0</v>
      </c>
    </row>
    <row r="18" customFormat="false" ht="15" hidden="false" customHeight="false" outlineLevel="0" collapsed="false">
      <c r="A18" s="2" t="s">
        <v>65</v>
      </c>
      <c r="B18" s="4" t="s">
        <v>66</v>
      </c>
      <c r="C18" s="8" t="n">
        <v>0</v>
      </c>
      <c r="D18" s="8" t="n">
        <v>0</v>
      </c>
      <c r="E18" s="8" t="n">
        <v>0</v>
      </c>
      <c r="F18" s="9" t="n">
        <f aca="false">MAX(0,E18-D18)</f>
        <v>0</v>
      </c>
    </row>
    <row r="19" customFormat="false" ht="15" hidden="false" customHeight="false" outlineLevel="0" collapsed="false">
      <c r="A19" s="2" t="s">
        <v>67</v>
      </c>
      <c r="B19" s="4" t="s">
        <v>68</v>
      </c>
      <c r="C19" s="8" t="n">
        <v>0</v>
      </c>
      <c r="D19" s="8" t="n">
        <v>0</v>
      </c>
      <c r="E19" s="8" t="n">
        <v>0</v>
      </c>
      <c r="F19" s="9" t="n">
        <f aca="false">MAX(0,E19-D19)</f>
        <v>0</v>
      </c>
    </row>
    <row r="20" customFormat="false" ht="15" hidden="false" customHeight="false" outlineLevel="0" collapsed="false">
      <c r="A20" s="2" t="s">
        <v>69</v>
      </c>
      <c r="B20" s="4" t="s">
        <v>70</v>
      </c>
      <c r="C20" s="8" t="n">
        <v>1</v>
      </c>
      <c r="D20" s="8" t="n">
        <v>22</v>
      </c>
      <c r="E20" s="8" t="n">
        <v>90</v>
      </c>
      <c r="F20" s="9" t="n">
        <f aca="false">MAX(0,E20-D20)</f>
        <v>68</v>
      </c>
    </row>
    <row r="21" customFormat="false" ht="15" hidden="false" customHeight="false" outlineLevel="0" collapsed="false">
      <c r="A21" s="2" t="s">
        <v>71</v>
      </c>
      <c r="B21" s="4" t="s">
        <v>72</v>
      </c>
      <c r="C21" s="8" t="n">
        <v>0</v>
      </c>
      <c r="D21" s="8" t="n">
        <v>0</v>
      </c>
      <c r="E21" s="8" t="n">
        <v>0</v>
      </c>
      <c r="F21" s="9" t="n">
        <f aca="false">MAX(0,E21-D21)</f>
        <v>0</v>
      </c>
    </row>
    <row r="22" customFormat="false" ht="15" hidden="false" customHeight="false" outlineLevel="0" collapsed="false">
      <c r="A22" s="2" t="s">
        <v>73</v>
      </c>
      <c r="B22" s="4" t="s">
        <v>74</v>
      </c>
      <c r="E22" s="10" t="n">
        <f aca="false">MAX(E9,E10,E11)</f>
        <v>25</v>
      </c>
    </row>
    <row r="23" customFormat="false" ht="15" hidden="false" customHeight="false" outlineLevel="0" collapsed="false">
      <c r="A23" s="2" t="s">
        <v>75</v>
      </c>
      <c r="B23" s="4" t="s">
        <v>76</v>
      </c>
      <c r="E23" s="10" t="n">
        <f aca="false">MAX(E6,E7,E8)</f>
        <v>25</v>
      </c>
    </row>
    <row r="24" customFormat="false" ht="15" hidden="false" customHeight="false" outlineLevel="0" collapsed="false">
      <c r="A24" s="11" t="s">
        <v>77</v>
      </c>
    </row>
    <row r="25" customFormat="false" ht="15" hidden="false" customHeight="false" outlineLevel="0" collapsed="false">
      <c r="A25" s="6" t="s">
        <v>78</v>
      </c>
    </row>
    <row r="26" customFormat="false" ht="15" hidden="false" customHeight="false" outlineLevel="0" collapsed="false">
      <c r="A26" s="12" t="s">
        <v>79</v>
      </c>
      <c r="B26" s="12"/>
      <c r="C26" s="8" t="n">
        <v>4</v>
      </c>
      <c r="D26" s="13" t="s">
        <v>80</v>
      </c>
      <c r="E26" s="13"/>
      <c r="F26" s="13"/>
      <c r="G26" s="13"/>
      <c r="H26" s="13"/>
      <c r="I26" s="13"/>
    </row>
    <row r="27" customFormat="false" ht="15" hidden="false" customHeight="false" outlineLevel="0" collapsed="false">
      <c r="A27" s="12" t="s">
        <v>81</v>
      </c>
      <c r="B27" s="12"/>
      <c r="C27" s="8" t="n">
        <v>4</v>
      </c>
      <c r="D27" s="13" t="s">
        <v>82</v>
      </c>
      <c r="E27" s="13"/>
      <c r="F27" s="13"/>
      <c r="G27" s="13"/>
      <c r="H27" s="13"/>
      <c r="I27" s="13"/>
    </row>
    <row r="28" customFormat="false" ht="15" hidden="false" customHeight="false" outlineLevel="0" collapsed="false">
      <c r="A28" s="12" t="s">
        <v>83</v>
      </c>
      <c r="B28" s="12"/>
      <c r="C28" s="8" t="n">
        <v>4</v>
      </c>
      <c r="D28" s="13" t="s">
        <v>84</v>
      </c>
      <c r="E28" s="13"/>
      <c r="F28" s="13"/>
      <c r="G28" s="13"/>
      <c r="H28" s="13"/>
      <c r="I28" s="13"/>
    </row>
    <row r="29" customFormat="false" ht="15" hidden="false" customHeight="false" outlineLevel="0" collapsed="false">
      <c r="A29" s="12" t="s">
        <v>85</v>
      </c>
      <c r="B29" s="12"/>
      <c r="C29" s="8" t="n">
        <v>0</v>
      </c>
      <c r="D29" s="13" t="s">
        <v>86</v>
      </c>
      <c r="E29" s="13"/>
      <c r="F29" s="13"/>
      <c r="G29" s="13"/>
      <c r="H29" s="13"/>
      <c r="I29" s="13"/>
    </row>
    <row r="30" customFormat="false" ht="15" hidden="false" customHeight="false" outlineLevel="0" collapsed="false">
      <c r="A30" s="14" t="s">
        <v>87</v>
      </c>
      <c r="B30" s="14"/>
      <c r="C30" s="15" t="n">
        <f aca="false">Constants!$B$18-SUM(C26:C29)</f>
        <v>0</v>
      </c>
      <c r="D30" s="13" t="s">
        <v>88</v>
      </c>
      <c r="E30" s="13"/>
      <c r="F30" s="13"/>
      <c r="G30" s="13"/>
      <c r="H30" s="13"/>
      <c r="I30" s="13"/>
    </row>
    <row r="32" customFormat="false" ht="15" hidden="false" customHeight="false" outlineLevel="0" collapsed="false">
      <c r="A32" s="6" t="s">
        <v>89</v>
      </c>
    </row>
    <row r="33" customFormat="false" ht="15" hidden="false" customHeight="false" outlineLevel="0" collapsed="false">
      <c r="A33" s="12" t="s">
        <v>90</v>
      </c>
      <c r="B33" s="12"/>
      <c r="C33" s="8" t="s">
        <v>91</v>
      </c>
      <c r="D33" s="13" t="s">
        <v>92</v>
      </c>
      <c r="E33" s="13"/>
      <c r="F33" s="13"/>
      <c r="G33" s="13"/>
      <c r="H33" s="13"/>
      <c r="I33" s="13"/>
    </row>
    <row r="34" customFormat="false" ht="15" hidden="false" customHeight="false" outlineLevel="0" collapsed="false">
      <c r="A34" s="14" t="s">
        <v>93</v>
      </c>
      <c r="B34" s="14"/>
      <c r="C34" s="15" t="n">
        <f aca="false">INDEX(Weapons!$D$2:$D$232,MATCH(C33,Weapons!$A$2:$A$232,0))</f>
        <v>20</v>
      </c>
    </row>
    <row r="35" customFormat="false" ht="15" hidden="false" customHeight="false" outlineLevel="0" collapsed="false">
      <c r="A35" s="14" t="s">
        <v>94</v>
      </c>
      <c r="B35" s="14"/>
      <c r="C35" s="16" t="n">
        <f aca="false">INDEX(Weapons!$E$2:$E$232,MATCH(C33,Weapons!$A$2:$A$232,0))</f>
        <v>0.3</v>
      </c>
    </row>
    <row r="36" customFormat="false" ht="15" hidden="false" customHeight="false" outlineLevel="0" collapsed="false">
      <c r="A36" s="12" t="s">
        <v>95</v>
      </c>
      <c r="B36" s="12"/>
      <c r="C36" s="17" t="n">
        <v>0</v>
      </c>
      <c r="D36" s="13" t="s">
        <v>96</v>
      </c>
      <c r="E36" s="13"/>
      <c r="F36" s="13"/>
      <c r="G36" s="13"/>
      <c r="H36" s="13"/>
      <c r="I36" s="13"/>
    </row>
    <row r="37" customFormat="false" ht="15" hidden="false" customHeight="false" outlineLevel="0" collapsed="false">
      <c r="A37" s="12" t="s">
        <v>97</v>
      </c>
      <c r="B37" s="12"/>
      <c r="C37" s="17" t="n">
        <v>0</v>
      </c>
      <c r="D37" s="13" t="s">
        <v>98</v>
      </c>
      <c r="E37" s="13"/>
      <c r="F37" s="13"/>
      <c r="G37" s="13"/>
      <c r="H37" s="13"/>
      <c r="I37" s="13"/>
    </row>
    <row r="38" customFormat="false" ht="15" hidden="false" customHeight="false" outlineLevel="0" collapsed="false">
      <c r="A38" s="12" t="s">
        <v>99</v>
      </c>
      <c r="B38" s="12"/>
      <c r="C38" s="17" t="n">
        <v>0.3</v>
      </c>
      <c r="D38" s="13" t="s">
        <v>100</v>
      </c>
      <c r="E38" s="13"/>
      <c r="F38" s="13"/>
      <c r="G38" s="13"/>
      <c r="H38" s="13"/>
      <c r="I38" s="13"/>
    </row>
    <row r="39" customFormat="false" ht="15" hidden="false" customHeight="false" outlineLevel="0" collapsed="false">
      <c r="A39" s="12" t="s">
        <v>101</v>
      </c>
      <c r="B39" s="12"/>
      <c r="C39" s="8" t="n">
        <v>1</v>
      </c>
      <c r="D39" s="13" t="s">
        <v>102</v>
      </c>
      <c r="E39" s="13"/>
      <c r="F39" s="13"/>
      <c r="G39" s="13"/>
      <c r="H39" s="13"/>
      <c r="I39" s="13"/>
    </row>
    <row r="40" customFormat="false" ht="15" hidden="false" customHeight="false" outlineLevel="0" collapsed="false">
      <c r="A40" s="12" t="s">
        <v>103</v>
      </c>
      <c r="B40" s="12"/>
      <c r="C40" s="17" t="n">
        <v>0</v>
      </c>
      <c r="D40" s="13" t="s">
        <v>104</v>
      </c>
      <c r="E40" s="13"/>
      <c r="F40" s="13"/>
      <c r="G40" s="13"/>
      <c r="H40" s="13"/>
      <c r="I40" s="13"/>
    </row>
    <row r="41" customFormat="false" ht="15" hidden="false" customHeight="false" outlineLevel="0" collapsed="false">
      <c r="A41" s="12" t="s">
        <v>105</v>
      </c>
      <c r="B41" s="12"/>
      <c r="C41" s="8" t="n">
        <v>0</v>
      </c>
      <c r="D41" s="13" t="s">
        <v>106</v>
      </c>
      <c r="E41" s="13"/>
      <c r="F41" s="13"/>
      <c r="G41" s="13"/>
      <c r="H41" s="13"/>
      <c r="I41" s="13"/>
    </row>
    <row r="42" customFormat="false" ht="15" hidden="false" customHeight="false" outlineLevel="0" collapsed="false">
      <c r="A42" s="12" t="s">
        <v>107</v>
      </c>
      <c r="B42" s="12"/>
      <c r="C42" s="8" t="n">
        <v>0</v>
      </c>
      <c r="D42" s="13" t="s">
        <v>108</v>
      </c>
      <c r="E42" s="13"/>
      <c r="F42" s="13"/>
      <c r="G42" s="13"/>
      <c r="H42" s="13"/>
      <c r="I42" s="13"/>
    </row>
    <row r="43" customFormat="false" ht="15" hidden="false" customHeight="false" outlineLevel="0" collapsed="false">
      <c r="A43" s="14" t="s">
        <v>109</v>
      </c>
      <c r="B43" s="14"/>
      <c r="C43" s="16" t="n">
        <f aca="false">C38+Constants!$B$17*C41</f>
        <v>0.3</v>
      </c>
    </row>
    <row r="44" customFormat="false" ht="15" hidden="false" customHeight="false" outlineLevel="0" collapsed="false">
      <c r="A44" s="14" t="s">
        <v>110</v>
      </c>
      <c r="B44" s="14"/>
      <c r="C44" s="18" t="n">
        <f aca="false">IF(C42=1,1,Constants!$B$15)</f>
        <v>0.5</v>
      </c>
    </row>
    <row r="45" customFormat="false" ht="15" hidden="false" customHeight="false" outlineLevel="0" collapsed="false">
      <c r="A45" s="14" t="s">
        <v>111</v>
      </c>
      <c r="B45" s="14"/>
      <c r="C45" s="16" t="n">
        <f aca="false">IF(C43&gt;Constants!$B$13,MIN(Constants!$B$14,Constants!$B$13+(C43-Constants!$B$13)/2),C43)</f>
        <v>0.275</v>
      </c>
      <c r="D45" s="13" t="s">
        <v>112</v>
      </c>
      <c r="E45" s="13"/>
      <c r="F45" s="13"/>
      <c r="G45" s="13"/>
      <c r="H45" s="13"/>
      <c r="I45" s="13"/>
    </row>
    <row r="46" customFormat="false" ht="15" hidden="false" customHeight="false" outlineLevel="0" collapsed="false">
      <c r="A46" s="14" t="s">
        <v>113</v>
      </c>
      <c r="B46" s="14"/>
      <c r="C46" s="15" t="n">
        <f aca="false">IFERROR(INDEX(Weapons!$G$2:$G$232,MATCH(C33,Weapons!$A$2:$A$232,0))*INDEX($E$6:$E$23,MATCH(INDEX(Weapons!$F$2:$F$232,MATCH(C33,Weapons!$A$2:$A$232,0)),$A$6:$A$23,0)),0)+IFERROR(INDEX(Weapons!$I$2:$I$232,MATCH(C33,Weapons!$A$2:$A$232,0))*INDEX($E$6:$E$23,MATCH(INDEX(Weapons!$H$2:$H$232,MATCH(C33,Weapons!$A$2:$A$232,0)),$A$6:$A$23,0)),0)+IFERROR(INDEX(Weapons!$K$2:$K$232,MATCH(C33,Weapons!$A$2:$A$232,0))*INDEX($E$6:$E$23,MATCH(INDEX(Weapons!$J$2:$J$232,MATCH(C33,Weapons!$A$2:$A$232,0)),$A$6:$A$23,0)),0)</f>
        <v>644</v>
      </c>
      <c r="D46" s="13" t="s">
        <v>114</v>
      </c>
      <c r="E46" s="13"/>
      <c r="F46" s="13"/>
      <c r="G46" s="13"/>
      <c r="H46" s="13"/>
      <c r="I46" s="13"/>
    </row>
    <row r="47" customFormat="false" ht="15" hidden="false" customHeight="false" outlineLevel="0" collapsed="false">
      <c r="A47" s="14" t="s">
        <v>115</v>
      </c>
      <c r="B47" s="14"/>
      <c r="C47" s="19" t="n">
        <f aca="false">C34*(1+0.75*C46*(1+Constants!$B$23*C27)/1000)</f>
        <v>32.1716</v>
      </c>
      <c r="D47" s="13" t="s">
        <v>116</v>
      </c>
      <c r="E47" s="13"/>
      <c r="F47" s="13"/>
      <c r="G47" s="13"/>
      <c r="H47" s="13"/>
      <c r="I47" s="13"/>
    </row>
    <row r="48" customFormat="false" ht="15" hidden="false" customHeight="false" outlineLevel="0" collapsed="false">
      <c r="A48" s="14" t="s">
        <v>117</v>
      </c>
      <c r="B48" s="14"/>
      <c r="C48" s="16" t="n">
        <f aca="false">C35+E6/10*Constants!$B$16+C36+C40+Constants!$B$24*C27</f>
        <v>0.422</v>
      </c>
      <c r="D48" s="13" t="s">
        <v>118</v>
      </c>
      <c r="E48" s="13"/>
      <c r="F48" s="13"/>
      <c r="G48" s="13"/>
      <c r="H48" s="13"/>
      <c r="I48" s="13"/>
    </row>
    <row r="49" customFormat="false" ht="15" hidden="false" customHeight="false" outlineLevel="0" collapsed="false">
      <c r="A49" s="14" t="s">
        <v>119</v>
      </c>
      <c r="B49" s="14"/>
      <c r="C49" s="16" t="n">
        <f aca="false">MIN(C44,MIN(1,C48))</f>
        <v>0.422</v>
      </c>
    </row>
    <row r="50" customFormat="false" ht="15" hidden="false" customHeight="false" outlineLevel="0" collapsed="false">
      <c r="A50" s="14" t="s">
        <v>120</v>
      </c>
      <c r="B50" s="14"/>
      <c r="C50" s="19" t="n">
        <f aca="false">C47*(1+C45+C37)*C39*(1-(1-C49)*Constants!$B$6)</f>
        <v>33.906131814</v>
      </c>
      <c r="D50" s="13" t="s">
        <v>121</v>
      </c>
      <c r="E50" s="13"/>
      <c r="F50" s="13"/>
      <c r="G50" s="13"/>
      <c r="H50" s="13"/>
      <c r="I50" s="13"/>
    </row>
    <row r="52" customFormat="false" ht="15" hidden="false" customHeight="false" outlineLevel="0" collapsed="false">
      <c r="A52" s="6" t="s">
        <v>122</v>
      </c>
    </row>
    <row r="53" customFormat="false" ht="15" hidden="false" customHeight="false" outlineLevel="0" collapsed="false">
      <c r="A53" s="12" t="s">
        <v>123</v>
      </c>
      <c r="B53" s="12"/>
      <c r="C53" s="8" t="s">
        <v>124</v>
      </c>
      <c r="D53" s="13" t="s">
        <v>125</v>
      </c>
      <c r="E53" s="13"/>
      <c r="F53" s="13"/>
      <c r="G53" s="13"/>
      <c r="H53" s="13"/>
      <c r="I53" s="13"/>
    </row>
    <row r="54" customFormat="false" ht="15" hidden="false" customHeight="false" outlineLevel="0" collapsed="false">
      <c r="A54" s="14" t="s">
        <v>126</v>
      </c>
      <c r="B54" s="14"/>
      <c r="C54" s="15" t="n">
        <f aca="false">IFERROR(INDEX(Mantras!$O$2:$O$231,MATCH(C53,Mantras!$A$2:$A$231,0)),"no damage data")</f>
        <v>2</v>
      </c>
      <c r="D54" s="13" t="s">
        <v>127</v>
      </c>
      <c r="E54" s="13"/>
      <c r="F54" s="13"/>
      <c r="G54" s="13"/>
      <c r="H54" s="13"/>
      <c r="I54" s="13"/>
    </row>
    <row r="55" customFormat="false" ht="15" hidden="false" customHeight="false" outlineLevel="0" collapsed="false">
      <c r="A55" s="14" t="s">
        <v>128</v>
      </c>
      <c r="B55" s="14"/>
      <c r="C55" s="19" t="n">
        <f aca="false">IFERROR(INDEX(Mantras!$P$2:$P$231,MATCH(C53,Mantras!$A$2:$A$231,0)),"no damage data")</f>
        <v>41.37025429425</v>
      </c>
      <c r="D55" s="13" t="s">
        <v>129</v>
      </c>
      <c r="E55" s="13"/>
      <c r="F55" s="13"/>
      <c r="G55" s="13"/>
      <c r="H55" s="13"/>
      <c r="I55" s="13"/>
    </row>
    <row r="57" customFormat="false" ht="15" hidden="false" customHeight="false" outlineLevel="0" collapsed="false">
      <c r="A57" s="6" t="s">
        <v>130</v>
      </c>
    </row>
    <row r="58" customFormat="false" ht="15" hidden="false" customHeight="false" outlineLevel="0" collapsed="false">
      <c r="A58" s="14" t="s">
        <v>131</v>
      </c>
      <c r="B58" s="14"/>
      <c r="C58" s="15" t="n">
        <f aca="false">SUM(C6:C21)</f>
        <v>184</v>
      </c>
    </row>
    <row r="59" customFormat="false" ht="15" hidden="false" customHeight="false" outlineLevel="0" collapsed="false">
      <c r="A59" s="14" t="s">
        <v>132</v>
      </c>
      <c r="B59" s="14"/>
      <c r="C59" s="15" t="n">
        <f aca="false">MAX(0,MIN(20,INT((C58-15)/15)))</f>
        <v>11</v>
      </c>
      <c r="D59" s="13" t="s">
        <v>133</v>
      </c>
      <c r="E59" s="13"/>
      <c r="F59" s="13"/>
      <c r="G59" s="13"/>
      <c r="H59" s="13"/>
      <c r="I59" s="13"/>
    </row>
    <row r="60" customFormat="false" ht="15" hidden="false" customHeight="false" outlineLevel="0" collapsed="false">
      <c r="A60" s="14" t="s">
        <v>134</v>
      </c>
      <c r="B60" s="14"/>
      <c r="C60" s="15" t="str">
        <f aca="false">IF(C59&gt;=Constants!$B$3,"yes","no: needs Power 8 (135 points)")</f>
        <v>yes</v>
      </c>
    </row>
    <row r="61" customFormat="false" ht="15" hidden="false" customHeight="false" outlineLevel="0" collapsed="false">
      <c r="A61" s="14" t="s">
        <v>135</v>
      </c>
      <c r="B61" s="14"/>
      <c r="C61" s="15" t="n">
        <f aca="false">IF(C59&gt;=Constants!$B$3,C58-SUM(D6:D21),0)</f>
        <v>5</v>
      </c>
      <c r="D61" s="13" t="s">
        <v>136</v>
      </c>
      <c r="E61" s="13"/>
      <c r="F61" s="13"/>
      <c r="G61" s="13"/>
      <c r="H61" s="13"/>
      <c r="I61" s="13"/>
    </row>
    <row r="62" customFormat="false" ht="15" hidden="false" customHeight="false" outlineLevel="0" collapsed="false">
      <c r="A62" s="14" t="s">
        <v>137</v>
      </c>
      <c r="B62" s="14"/>
      <c r="C62" s="15" t="n">
        <f aca="false">SUM(F6:F21)</f>
        <v>141</v>
      </c>
    </row>
    <row r="63" customFormat="false" ht="15" hidden="false" customHeight="false" outlineLevel="0" collapsed="false">
      <c r="A63" s="14" t="s">
        <v>138</v>
      </c>
      <c r="B63" s="14"/>
      <c r="C63" s="15" t="n">
        <f aca="false">MAX(0,COUNTIF(E15:E21,"&gt;0")-1)</f>
        <v>1</v>
      </c>
      <c r="D63" s="13" t="s">
        <v>139</v>
      </c>
      <c r="E63" s="13"/>
      <c r="F63" s="13"/>
      <c r="G63" s="13"/>
      <c r="H63" s="13"/>
      <c r="I63" s="13"/>
    </row>
    <row r="64" customFormat="false" ht="15" hidden="false" customHeight="false" outlineLevel="0" collapsed="false">
      <c r="A64" s="14" t="s">
        <v>140</v>
      </c>
      <c r="B64" s="14"/>
      <c r="C64" s="15" t="n">
        <f aca="false">C58-C61+C62-C63</f>
        <v>319</v>
      </c>
    </row>
    <row r="65" customFormat="false" ht="15" hidden="false" customHeight="false" outlineLevel="0" collapsed="false">
      <c r="A65" s="14" t="s">
        <v>141</v>
      </c>
      <c r="B65" s="14"/>
      <c r="C65" s="15" t="n">
        <f aca="false">Constants!$B$2-C64</f>
        <v>11</v>
      </c>
    </row>
    <row r="66" customFormat="false" ht="15" hidden="false" customHeight="false" outlineLevel="0" collapsed="false">
      <c r="A66" s="14" t="s">
        <v>142</v>
      </c>
      <c r="B66" s="14"/>
      <c r="C66" s="15" t="n">
        <f aca="false">MAX(0,MIN(20,INT((C64-15)/15)))</f>
        <v>20</v>
      </c>
    </row>
    <row r="67" customFormat="false" ht="15" hidden="false" customHeight="false" outlineLevel="0" collapsed="false">
      <c r="A67" s="14" t="s">
        <v>143</v>
      </c>
      <c r="B67" s="14"/>
      <c r="C67" s="15" t="str">
        <f aca="false">IF(C66&gt;=20,"max",15*(C66+2)-C64)</f>
        <v>max</v>
      </c>
    </row>
    <row r="69" customFormat="false" ht="15" hidden="false" customHeight="false" outlineLevel="0" collapsed="false">
      <c r="A69" s="6" t="s">
        <v>144</v>
      </c>
    </row>
    <row r="70" customFormat="false" ht="15" hidden="false" customHeight="false" outlineLevel="0" collapsed="false">
      <c r="A70" s="12" t="s">
        <v>145</v>
      </c>
      <c r="B70" s="12"/>
      <c r="C70" s="8" t="n">
        <v>8</v>
      </c>
    </row>
    <row r="71" customFormat="false" ht="15" hidden="false" customHeight="false" outlineLevel="0" collapsed="false">
      <c r="A71" s="14" t="s">
        <v>146</v>
      </c>
      <c r="B71" s="14"/>
      <c r="C71" s="15" t="n">
        <f aca="false">Constants!$B$28+(12-C70)*2</f>
        <v>60</v>
      </c>
      <c r="D71" s="13" t="s">
        <v>147</v>
      </c>
      <c r="E71" s="13"/>
      <c r="F71" s="13"/>
      <c r="G71" s="13"/>
      <c r="H71" s="13"/>
      <c r="I71" s="13"/>
    </row>
    <row r="72" customFormat="false" ht="15" hidden="false" customHeight="false" outlineLevel="0" collapsed="false">
      <c r="A72" s="12" t="s">
        <v>148</v>
      </c>
      <c r="B72" s="12"/>
      <c r="C72" s="8" t="n">
        <v>150</v>
      </c>
      <c r="D72" s="13" t="s">
        <v>149</v>
      </c>
      <c r="E72" s="13"/>
      <c r="F72" s="13"/>
      <c r="G72" s="13"/>
      <c r="H72" s="13"/>
      <c r="I72" s="13"/>
    </row>
    <row r="73" customFormat="false" ht="15" hidden="false" customHeight="false" outlineLevel="0" collapsed="false">
      <c r="A73" s="12" t="s">
        <v>150</v>
      </c>
      <c r="B73" s="12"/>
      <c r="C73" s="8" t="n">
        <v>40</v>
      </c>
      <c r="D73" s="13" t="s">
        <v>151</v>
      </c>
      <c r="E73" s="13"/>
      <c r="F73" s="13"/>
      <c r="G73" s="13"/>
      <c r="H73" s="13"/>
      <c r="I73" s="13"/>
    </row>
    <row r="74" customFormat="false" ht="15" hidden="false" customHeight="false" outlineLevel="0" collapsed="false">
      <c r="A74" s="14" t="s">
        <v>152</v>
      </c>
      <c r="B74" s="14"/>
      <c r="C74" s="20" t="n">
        <f aca="false">Constants!$B$9+20*Constants!$B$10+MIN(E7,50)*Constants!$B$11+MAX(E7-50,0)*Constants!$B$12+Constants!$B$20*C26+C72</f>
        <v>502.5</v>
      </c>
      <c r="D74" s="13" t="s">
        <v>153</v>
      </c>
      <c r="E74" s="13"/>
      <c r="F74" s="13"/>
      <c r="G74" s="13"/>
      <c r="H74" s="13"/>
      <c r="I74" s="13"/>
    </row>
    <row r="75" customFormat="false" ht="15" hidden="false" customHeight="false" outlineLevel="0" collapsed="false">
      <c r="A75" s="14" t="s">
        <v>154</v>
      </c>
      <c r="B75" s="14"/>
      <c r="C75" s="16" t="n">
        <f aca="false">MIN(0.95,C73/100*(1-Constants!$B$7/100))</f>
        <v>0.26</v>
      </c>
      <c r="D75" s="13" t="s">
        <v>155</v>
      </c>
      <c r="E75" s="13"/>
      <c r="F75" s="13"/>
      <c r="G75" s="13"/>
      <c r="H75" s="13"/>
      <c r="I75" s="13"/>
    </row>
    <row r="76" customFormat="false" ht="15" hidden="false" customHeight="false" outlineLevel="0" collapsed="false">
      <c r="A76" s="14" t="s">
        <v>156</v>
      </c>
      <c r="B76" s="14"/>
      <c r="C76" s="20" t="n">
        <f aca="false">C74/(1-C75)</f>
        <v>679.054054054054</v>
      </c>
    </row>
    <row r="77" customFormat="false" ht="15" hidden="false" customHeight="false" outlineLevel="0" collapsed="false">
      <c r="A77" s="14" t="s">
        <v>157</v>
      </c>
      <c r="B77" s="14"/>
      <c r="C77" s="15" t="n">
        <f aca="false">Constants!$B$21*C29</f>
        <v>0</v>
      </c>
    </row>
    <row r="78" customFormat="false" ht="15" hidden="false" customHeight="false" outlineLevel="0" collapsed="false">
      <c r="A78" s="14" t="s">
        <v>158</v>
      </c>
      <c r="B78" s="14"/>
      <c r="C78" s="15" t="n">
        <f aca="false">Constants!$B$22*C29</f>
        <v>0</v>
      </c>
    </row>
  </sheetData>
  <mergeCells count="74">
    <mergeCell ref="A26:B26"/>
    <mergeCell ref="D26:I26"/>
    <mergeCell ref="A27:B27"/>
    <mergeCell ref="D27:I27"/>
    <mergeCell ref="A28:B28"/>
    <mergeCell ref="D28:I28"/>
    <mergeCell ref="A29:B29"/>
    <mergeCell ref="D29:I29"/>
    <mergeCell ref="A30:B30"/>
    <mergeCell ref="D30:I30"/>
    <mergeCell ref="A33:B33"/>
    <mergeCell ref="D33:I33"/>
    <mergeCell ref="A34:B34"/>
    <mergeCell ref="A35:B35"/>
    <mergeCell ref="A36:B36"/>
    <mergeCell ref="D36:I36"/>
    <mergeCell ref="A37:B37"/>
    <mergeCell ref="D37:I37"/>
    <mergeCell ref="A38:B38"/>
    <mergeCell ref="D38:I38"/>
    <mergeCell ref="A39:B39"/>
    <mergeCell ref="D39:I39"/>
    <mergeCell ref="A40:B40"/>
    <mergeCell ref="D40:I40"/>
    <mergeCell ref="A41:B41"/>
    <mergeCell ref="D41:I41"/>
    <mergeCell ref="A42:B42"/>
    <mergeCell ref="D42:I42"/>
    <mergeCell ref="A43:B43"/>
    <mergeCell ref="A44:B44"/>
    <mergeCell ref="A45:B45"/>
    <mergeCell ref="D45:I45"/>
    <mergeCell ref="A46:B46"/>
    <mergeCell ref="D46:I46"/>
    <mergeCell ref="A47:B47"/>
    <mergeCell ref="D47:I47"/>
    <mergeCell ref="A48:B48"/>
    <mergeCell ref="D48:I48"/>
    <mergeCell ref="A49:B49"/>
    <mergeCell ref="A50:B50"/>
    <mergeCell ref="D50:I50"/>
    <mergeCell ref="A53:B53"/>
    <mergeCell ref="D53:I53"/>
    <mergeCell ref="A54:B54"/>
    <mergeCell ref="D54:I54"/>
    <mergeCell ref="A55:B55"/>
    <mergeCell ref="D55:I55"/>
    <mergeCell ref="A58:B58"/>
    <mergeCell ref="A59:B59"/>
    <mergeCell ref="D59:I59"/>
    <mergeCell ref="A60:B60"/>
    <mergeCell ref="A61:B61"/>
    <mergeCell ref="D61:I61"/>
    <mergeCell ref="A62:B62"/>
    <mergeCell ref="A63:B63"/>
    <mergeCell ref="D63:I63"/>
    <mergeCell ref="A64:B64"/>
    <mergeCell ref="A65:B65"/>
    <mergeCell ref="A66:B66"/>
    <mergeCell ref="A67:B67"/>
    <mergeCell ref="A70:B70"/>
    <mergeCell ref="A71:B71"/>
    <mergeCell ref="D71:I71"/>
    <mergeCell ref="A72:B72"/>
    <mergeCell ref="D72:I72"/>
    <mergeCell ref="A73:B73"/>
    <mergeCell ref="D73:I73"/>
    <mergeCell ref="A74:B74"/>
    <mergeCell ref="D74:I74"/>
    <mergeCell ref="A75:B75"/>
    <mergeCell ref="D75:I75"/>
    <mergeCell ref="A76:B76"/>
    <mergeCell ref="A77:B77"/>
    <mergeCell ref="A78:B78"/>
  </mergeCells>
  <dataValidations count="2">
    <dataValidation allowBlank="false" errorStyle="stop" operator="between" showDropDown="false" showErrorMessage="false" showInputMessage="false" sqref="C33" type="list">
      <formula1>Weapons!$A$2:$A$232</formula1>
      <formula2>0</formula2>
    </dataValidation>
    <dataValidation allowBlank="false" errorStyle="stop" operator="between" showDropDown="false" showErrorMessage="false" showInputMessage="false" sqref="C53" type="list">
      <formula1>Mantras!$A$2:$A$231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70"/>
    <col collapsed="false" customWidth="true" hidden="false" outlineLevel="0" max="4" min="4" style="0" width="60"/>
    <col collapsed="false" customWidth="true" hidden="false" outlineLevel="0" max="5" min="5" style="0" width="22"/>
  </cols>
  <sheetData>
    <row r="1" customFormat="false" ht="15" hidden="false" customHeight="false" outlineLevel="0" collapsed="false">
      <c r="A1" s="21" t="s">
        <v>159</v>
      </c>
      <c r="B1" s="21" t="s">
        <v>160</v>
      </c>
      <c r="C1" s="21" t="s">
        <v>161</v>
      </c>
      <c r="D1" s="21" t="s">
        <v>162</v>
      </c>
      <c r="E1" s="21" t="s">
        <v>163</v>
      </c>
    </row>
    <row r="2" customFormat="false" ht="23.85" hidden="false" customHeight="false" outlineLevel="0" collapsed="false">
      <c r="A2" s="5" t="s">
        <v>164</v>
      </c>
      <c r="B2" s="3" t="s">
        <v>165</v>
      </c>
      <c r="C2" s="3" t="s">
        <v>166</v>
      </c>
      <c r="D2" s="3" t="s">
        <v>167</v>
      </c>
      <c r="E2" s="3" t="s">
        <v>168</v>
      </c>
    </row>
    <row r="3" customFormat="false" ht="15" hidden="false" customHeight="false" outlineLevel="0" collapsed="false">
      <c r="A3" s="5" t="s">
        <v>164</v>
      </c>
      <c r="B3" s="3" t="s">
        <v>169</v>
      </c>
      <c r="C3" s="3" t="s">
        <v>170</v>
      </c>
      <c r="D3" s="3" t="s">
        <v>171</v>
      </c>
      <c r="E3" s="3" t="s">
        <v>172</v>
      </c>
    </row>
    <row r="4" customFormat="false" ht="15" hidden="false" customHeight="false" outlineLevel="0" collapsed="false">
      <c r="A4" s="5" t="s">
        <v>164</v>
      </c>
      <c r="B4" s="3" t="s">
        <v>173</v>
      </c>
      <c r="C4" s="3" t="s">
        <v>174</v>
      </c>
      <c r="D4" s="3" t="s">
        <v>175</v>
      </c>
      <c r="E4" s="3" t="s">
        <v>176</v>
      </c>
    </row>
    <row r="5" customFormat="false" ht="15" hidden="false" customHeight="false" outlineLevel="0" collapsed="false">
      <c r="A5" s="5" t="s">
        <v>164</v>
      </c>
      <c r="B5" s="3" t="s">
        <v>177</v>
      </c>
      <c r="C5" s="3" t="s">
        <v>178</v>
      </c>
      <c r="D5" s="3" t="s">
        <v>179</v>
      </c>
      <c r="E5" s="3" t="s">
        <v>168</v>
      </c>
    </row>
    <row r="6" customFormat="false" ht="23.85" hidden="false" customHeight="false" outlineLevel="0" collapsed="false">
      <c r="A6" s="5" t="s">
        <v>180</v>
      </c>
      <c r="B6" s="3" t="s">
        <v>181</v>
      </c>
      <c r="C6" s="3" t="s">
        <v>182</v>
      </c>
      <c r="D6" s="3" t="s">
        <v>183</v>
      </c>
      <c r="E6" s="3" t="s">
        <v>184</v>
      </c>
    </row>
    <row r="7" customFormat="false" ht="57.45" hidden="false" customHeight="false" outlineLevel="0" collapsed="false">
      <c r="A7" s="5" t="s">
        <v>180</v>
      </c>
      <c r="B7" s="3" t="s">
        <v>185</v>
      </c>
      <c r="C7" s="3" t="s">
        <v>186</v>
      </c>
      <c r="D7" s="3" t="s">
        <v>187</v>
      </c>
      <c r="E7" s="3" t="s">
        <v>188</v>
      </c>
    </row>
    <row r="8" customFormat="false" ht="46.25" hidden="false" customHeight="false" outlineLevel="0" collapsed="false">
      <c r="A8" s="5" t="s">
        <v>180</v>
      </c>
      <c r="B8" s="3" t="s">
        <v>189</v>
      </c>
      <c r="C8" s="3" t="s">
        <v>190</v>
      </c>
      <c r="D8" s="3" t="s">
        <v>191</v>
      </c>
      <c r="E8" s="3" t="s">
        <v>192</v>
      </c>
    </row>
    <row r="9" customFormat="false" ht="23.85" hidden="false" customHeight="false" outlineLevel="0" collapsed="false">
      <c r="A9" s="5" t="s">
        <v>193</v>
      </c>
      <c r="B9" s="3" t="s">
        <v>194</v>
      </c>
      <c r="C9" s="3" t="s">
        <v>195</v>
      </c>
      <c r="D9" s="3" t="s">
        <v>196</v>
      </c>
      <c r="E9" s="3" t="s">
        <v>197</v>
      </c>
    </row>
    <row r="10" customFormat="false" ht="46.25" hidden="false" customHeight="false" outlineLevel="0" collapsed="false">
      <c r="A10" s="5" t="s">
        <v>198</v>
      </c>
      <c r="B10" s="3" t="s">
        <v>199</v>
      </c>
      <c r="C10" s="3" t="s">
        <v>200</v>
      </c>
      <c r="D10" s="3" t="s">
        <v>201</v>
      </c>
      <c r="E10" s="3" t="s">
        <v>202</v>
      </c>
    </row>
    <row r="11" customFormat="false" ht="23.85" hidden="false" customHeight="false" outlineLevel="0" collapsed="false">
      <c r="A11" s="5" t="s">
        <v>198</v>
      </c>
      <c r="B11" s="3" t="s">
        <v>203</v>
      </c>
      <c r="C11" s="3" t="s">
        <v>204</v>
      </c>
      <c r="D11" s="3" t="s">
        <v>205</v>
      </c>
      <c r="E11" s="3" t="s">
        <v>206</v>
      </c>
    </row>
    <row r="12" customFormat="false" ht="23.85" hidden="false" customHeight="false" outlineLevel="0" collapsed="false">
      <c r="A12" s="5" t="s">
        <v>198</v>
      </c>
      <c r="B12" s="3" t="s">
        <v>207</v>
      </c>
      <c r="C12" s="3" t="s">
        <v>208</v>
      </c>
      <c r="D12" s="3" t="s">
        <v>209</v>
      </c>
      <c r="E12" s="3" t="s">
        <v>210</v>
      </c>
    </row>
    <row r="13" customFormat="false" ht="35.05" hidden="false" customHeight="false" outlineLevel="0" collapsed="false">
      <c r="A13" s="5" t="s">
        <v>198</v>
      </c>
      <c r="B13" s="3" t="s">
        <v>211</v>
      </c>
      <c r="C13" s="3" t="s">
        <v>212</v>
      </c>
      <c r="D13" s="3" t="s">
        <v>213</v>
      </c>
      <c r="E13" s="3" t="s">
        <v>214</v>
      </c>
    </row>
    <row r="14" customFormat="false" ht="15" hidden="false" customHeight="false" outlineLevel="0" collapsed="false">
      <c r="A14" s="5" t="s">
        <v>198</v>
      </c>
      <c r="B14" s="3" t="s">
        <v>215</v>
      </c>
      <c r="C14" s="3" t="s">
        <v>216</v>
      </c>
      <c r="D14" s="3" t="s">
        <v>217</v>
      </c>
      <c r="E14" s="3" t="s">
        <v>218</v>
      </c>
    </row>
    <row r="15" customFormat="false" ht="23.85" hidden="false" customHeight="false" outlineLevel="0" collapsed="false">
      <c r="A15" s="5" t="s">
        <v>198</v>
      </c>
      <c r="B15" s="3" t="s">
        <v>219</v>
      </c>
      <c r="C15" s="3" t="s">
        <v>220</v>
      </c>
      <c r="D15" s="3" t="s">
        <v>221</v>
      </c>
      <c r="E15" s="3" t="s">
        <v>222</v>
      </c>
    </row>
    <row r="16" customFormat="false" ht="15" hidden="false" customHeight="false" outlineLevel="0" collapsed="false">
      <c r="A16" s="5" t="s">
        <v>11</v>
      </c>
      <c r="B16" s="3" t="s">
        <v>146</v>
      </c>
      <c r="C16" s="3" t="s">
        <v>223</v>
      </c>
      <c r="D16" s="3" t="s">
        <v>224</v>
      </c>
      <c r="E16" s="3" t="s">
        <v>225</v>
      </c>
    </row>
    <row r="17" customFormat="false" ht="15" hidden="false" customHeight="false" outlineLevel="0" collapsed="false">
      <c r="A17" s="5" t="s">
        <v>11</v>
      </c>
      <c r="B17" s="3" t="s">
        <v>226</v>
      </c>
      <c r="C17" s="3" t="s">
        <v>227</v>
      </c>
      <c r="D17" s="3" t="s">
        <v>228</v>
      </c>
      <c r="E17" s="3" t="s">
        <v>229</v>
      </c>
    </row>
    <row r="18" customFormat="false" ht="23.85" hidden="false" customHeight="false" outlineLevel="0" collapsed="false">
      <c r="A18" s="5" t="s">
        <v>11</v>
      </c>
      <c r="B18" s="3" t="s">
        <v>230</v>
      </c>
      <c r="C18" s="3" t="s">
        <v>231</v>
      </c>
      <c r="D18" s="3" t="s">
        <v>232</v>
      </c>
      <c r="E18" s="3" t="s">
        <v>233</v>
      </c>
    </row>
    <row r="19" customFormat="false" ht="35.05" hidden="false" customHeight="false" outlineLevel="0" collapsed="false">
      <c r="A19" s="5" t="s">
        <v>11</v>
      </c>
      <c r="B19" s="3" t="s">
        <v>234</v>
      </c>
      <c r="C19" s="3" t="s">
        <v>235</v>
      </c>
      <c r="D19" s="3" t="s">
        <v>236</v>
      </c>
      <c r="E19" s="3" t="s">
        <v>237</v>
      </c>
    </row>
    <row r="20" customFormat="false" ht="23.85" hidden="false" customHeight="false" outlineLevel="0" collapsed="false">
      <c r="A20" s="5" t="s">
        <v>11</v>
      </c>
      <c r="B20" s="3" t="s">
        <v>238</v>
      </c>
      <c r="C20" s="3" t="s">
        <v>239</v>
      </c>
      <c r="D20" s="3" t="s">
        <v>240</v>
      </c>
      <c r="E20" s="3" t="s">
        <v>241</v>
      </c>
    </row>
    <row r="21" customFormat="false" ht="35.05" hidden="false" customHeight="false" outlineLevel="0" collapsed="false">
      <c r="A21" s="5" t="s">
        <v>11</v>
      </c>
      <c r="B21" s="3" t="s">
        <v>242</v>
      </c>
      <c r="C21" s="3" t="s">
        <v>243</v>
      </c>
      <c r="D21" s="3" t="s">
        <v>244</v>
      </c>
      <c r="E21" s="3" t="s">
        <v>245</v>
      </c>
    </row>
    <row r="22" customFormat="false" ht="23.85" hidden="false" customHeight="false" outlineLevel="0" collapsed="false">
      <c r="A22" s="5" t="s">
        <v>11</v>
      </c>
      <c r="B22" s="3" t="s">
        <v>246</v>
      </c>
      <c r="C22" s="3" t="s">
        <v>247</v>
      </c>
      <c r="D22" s="3" t="s">
        <v>248</v>
      </c>
      <c r="E22" s="3" t="s">
        <v>249</v>
      </c>
    </row>
    <row r="23" customFormat="false" ht="23.85" hidden="false" customHeight="false" outlineLevel="0" collapsed="false">
      <c r="A23" s="5" t="s">
        <v>11</v>
      </c>
      <c r="B23" s="3" t="s">
        <v>250</v>
      </c>
      <c r="C23" s="3" t="s">
        <v>251</v>
      </c>
      <c r="D23" s="3" t="s">
        <v>252</v>
      </c>
      <c r="E23" s="3" t="s">
        <v>253</v>
      </c>
    </row>
    <row r="24" customFormat="false" ht="23.85" hidden="false" customHeight="false" outlineLevel="0" collapsed="false">
      <c r="A24" s="5" t="s">
        <v>11</v>
      </c>
      <c r="B24" s="3" t="s">
        <v>254</v>
      </c>
      <c r="C24" s="3" t="s">
        <v>255</v>
      </c>
      <c r="D24" s="3" t="s">
        <v>256</v>
      </c>
      <c r="E24" s="3" t="s">
        <v>257</v>
      </c>
    </row>
    <row r="25" customFormat="false" ht="23.85" hidden="false" customHeight="false" outlineLevel="0" collapsed="false">
      <c r="A25" s="5" t="s">
        <v>11</v>
      </c>
      <c r="B25" s="3" t="s">
        <v>258</v>
      </c>
      <c r="C25" s="3" t="s">
        <v>259</v>
      </c>
      <c r="D25" s="3" t="s">
        <v>260</v>
      </c>
      <c r="E25" s="3" t="s">
        <v>261</v>
      </c>
    </row>
    <row r="26" customFormat="false" ht="23.85" hidden="false" customHeight="false" outlineLevel="0" collapsed="false">
      <c r="A26" s="5" t="s">
        <v>262</v>
      </c>
      <c r="B26" s="3" t="s">
        <v>263</v>
      </c>
      <c r="C26" s="3" t="s">
        <v>264</v>
      </c>
      <c r="D26" s="3" t="s">
        <v>265</v>
      </c>
      <c r="E26" s="3" t="s">
        <v>266</v>
      </c>
    </row>
    <row r="27" customFormat="false" ht="15" hidden="false" customHeight="false" outlineLevel="0" collapsed="false">
      <c r="A27" s="5" t="s">
        <v>262</v>
      </c>
      <c r="B27" s="3" t="s">
        <v>267</v>
      </c>
      <c r="C27" s="3" t="s">
        <v>268</v>
      </c>
      <c r="D27" s="3" t="s">
        <v>269</v>
      </c>
      <c r="E27" s="3" t="s">
        <v>266</v>
      </c>
    </row>
    <row r="28" customFormat="false" ht="23.85" hidden="false" customHeight="false" outlineLevel="0" collapsed="false">
      <c r="A28" s="5" t="s">
        <v>262</v>
      </c>
      <c r="B28" s="3" t="s">
        <v>270</v>
      </c>
      <c r="C28" s="3" t="s">
        <v>271</v>
      </c>
      <c r="D28" s="3" t="s">
        <v>272</v>
      </c>
      <c r="E28" s="3" t="s">
        <v>266</v>
      </c>
    </row>
    <row r="29" customFormat="false" ht="35.05" hidden="false" customHeight="false" outlineLevel="0" collapsed="false">
      <c r="A29" s="5" t="s">
        <v>262</v>
      </c>
      <c r="B29" s="3" t="s">
        <v>94</v>
      </c>
      <c r="C29" s="3" t="s">
        <v>273</v>
      </c>
      <c r="D29" s="3" t="s">
        <v>274</v>
      </c>
      <c r="E29" s="3" t="s">
        <v>266</v>
      </c>
    </row>
    <row r="30" customFormat="false" ht="15" hidden="false" customHeight="false" outlineLevel="0" collapsed="false">
      <c r="A30" s="5" t="s">
        <v>262</v>
      </c>
      <c r="B30" s="3" t="s">
        <v>120</v>
      </c>
      <c r="C30" s="3" t="s">
        <v>275</v>
      </c>
      <c r="D30" s="3" t="s">
        <v>276</v>
      </c>
      <c r="E30" s="3" t="s">
        <v>266</v>
      </c>
    </row>
    <row r="31" customFormat="false" ht="15" hidden="false" customHeight="false" outlineLevel="0" collapsed="false">
      <c r="A31" s="5" t="s">
        <v>262</v>
      </c>
      <c r="B31" s="3" t="s">
        <v>277</v>
      </c>
      <c r="C31" s="3" t="s">
        <v>278</v>
      </c>
      <c r="D31" s="3" t="s">
        <v>279</v>
      </c>
      <c r="E31" s="3" t="s">
        <v>280</v>
      </c>
    </row>
    <row r="32" customFormat="false" ht="35.05" hidden="false" customHeight="false" outlineLevel="0" collapsed="false">
      <c r="A32" s="5" t="s">
        <v>262</v>
      </c>
      <c r="B32" s="3" t="s">
        <v>281</v>
      </c>
      <c r="C32" s="3" t="s">
        <v>282</v>
      </c>
      <c r="D32" s="3" t="s">
        <v>283</v>
      </c>
      <c r="E32" s="3" t="s">
        <v>284</v>
      </c>
    </row>
    <row r="33" customFormat="false" ht="15" hidden="false" customHeight="false" outlineLevel="0" collapsed="false">
      <c r="A33" s="5" t="s">
        <v>262</v>
      </c>
      <c r="B33" s="3" t="s">
        <v>285</v>
      </c>
      <c r="C33" s="3" t="s">
        <v>286</v>
      </c>
      <c r="D33" s="3" t="s">
        <v>287</v>
      </c>
      <c r="E33" s="3" t="s">
        <v>168</v>
      </c>
    </row>
    <row r="34" customFormat="false" ht="23.85" hidden="false" customHeight="false" outlineLevel="0" collapsed="false">
      <c r="A34" s="5" t="s">
        <v>152</v>
      </c>
      <c r="B34" s="3" t="s">
        <v>152</v>
      </c>
      <c r="C34" s="3" t="s">
        <v>288</v>
      </c>
      <c r="D34" s="3" t="s">
        <v>289</v>
      </c>
      <c r="E34" s="3" t="s">
        <v>290</v>
      </c>
    </row>
    <row r="35" customFormat="false" ht="23.85" hidden="false" customHeight="false" outlineLevel="0" collapsed="false">
      <c r="A35" s="5" t="s">
        <v>152</v>
      </c>
      <c r="B35" s="3" t="s">
        <v>291</v>
      </c>
      <c r="C35" s="3" t="s">
        <v>292</v>
      </c>
      <c r="D35" s="3" t="s">
        <v>293</v>
      </c>
      <c r="E35" s="3" t="s">
        <v>290</v>
      </c>
    </row>
    <row r="36" customFormat="false" ht="35.05" hidden="false" customHeight="false" outlineLevel="0" collapsed="false">
      <c r="A36" s="5" t="s">
        <v>19</v>
      </c>
      <c r="B36" s="3" t="s">
        <v>294</v>
      </c>
      <c r="C36" s="3" t="s">
        <v>295</v>
      </c>
      <c r="D36" s="3" t="s">
        <v>296</v>
      </c>
      <c r="E36" s="3" t="s">
        <v>297</v>
      </c>
    </row>
    <row r="37" customFormat="false" ht="23.85" hidden="false" customHeight="false" outlineLevel="0" collapsed="false">
      <c r="A37" s="5" t="s">
        <v>298</v>
      </c>
      <c r="B37" s="3" t="s">
        <v>299</v>
      </c>
      <c r="C37" s="3" t="s">
        <v>300</v>
      </c>
      <c r="D37" s="3" t="s">
        <v>301</v>
      </c>
      <c r="E37" s="3" t="s">
        <v>302</v>
      </c>
    </row>
    <row r="38" customFormat="false" ht="23.85" hidden="false" customHeight="false" outlineLevel="0" collapsed="false">
      <c r="A38" s="5" t="s">
        <v>298</v>
      </c>
      <c r="B38" s="3" t="s">
        <v>303</v>
      </c>
      <c r="C38" s="3" t="s">
        <v>304</v>
      </c>
      <c r="D38" s="3" t="s">
        <v>305</v>
      </c>
      <c r="E38" s="3" t="s">
        <v>306</v>
      </c>
    </row>
    <row r="39" customFormat="false" ht="35.05" hidden="false" customHeight="false" outlineLevel="0" collapsed="false">
      <c r="A39" s="5" t="s">
        <v>307</v>
      </c>
      <c r="B39" s="3" t="s">
        <v>308</v>
      </c>
      <c r="C39" s="3" t="s">
        <v>309</v>
      </c>
      <c r="D39" s="3" t="s">
        <v>310</v>
      </c>
      <c r="E39" s="3" t="s">
        <v>168</v>
      </c>
    </row>
    <row r="40" customFormat="false" ht="15" hidden="false" customHeight="false" outlineLevel="0" collapsed="false">
      <c r="A40" s="5" t="s">
        <v>307</v>
      </c>
      <c r="B40" s="3" t="s">
        <v>311</v>
      </c>
      <c r="C40" s="3" t="s">
        <v>312</v>
      </c>
      <c r="D40" s="3" t="s">
        <v>313</v>
      </c>
      <c r="E40" s="3" t="s">
        <v>314</v>
      </c>
    </row>
    <row r="41" customFormat="false" ht="46.25" hidden="false" customHeight="false" outlineLevel="0" collapsed="false">
      <c r="A41" s="5" t="s">
        <v>307</v>
      </c>
      <c r="B41" s="3" t="s">
        <v>315</v>
      </c>
      <c r="C41" s="3" t="s">
        <v>316</v>
      </c>
      <c r="D41" s="3" t="s">
        <v>317</v>
      </c>
      <c r="E41" s="3" t="s">
        <v>318</v>
      </c>
    </row>
    <row r="42" customFormat="false" ht="46.25" hidden="false" customHeight="false" outlineLevel="0" collapsed="false">
      <c r="A42" s="5" t="s">
        <v>307</v>
      </c>
      <c r="B42" s="3" t="s">
        <v>319</v>
      </c>
      <c r="C42" s="3" t="s">
        <v>320</v>
      </c>
      <c r="D42" s="3" t="s">
        <v>321</v>
      </c>
      <c r="E42" s="3" t="s">
        <v>322</v>
      </c>
    </row>
    <row r="43" customFormat="false" ht="35.05" hidden="false" customHeight="false" outlineLevel="0" collapsed="false">
      <c r="A43" s="5" t="s">
        <v>307</v>
      </c>
      <c r="B43" s="3" t="s">
        <v>323</v>
      </c>
      <c r="C43" s="3" t="s">
        <v>324</v>
      </c>
      <c r="D43" s="3" t="s">
        <v>325</v>
      </c>
      <c r="E43" s="3" t="s">
        <v>326</v>
      </c>
    </row>
    <row r="44" customFormat="false" ht="23.85" hidden="false" customHeight="false" outlineLevel="0" collapsed="false">
      <c r="A44" s="5" t="s">
        <v>327</v>
      </c>
      <c r="B44" s="3" t="s">
        <v>328</v>
      </c>
      <c r="C44" s="3" t="s">
        <v>329</v>
      </c>
      <c r="D44" s="3" t="s">
        <v>330</v>
      </c>
      <c r="E44" s="3" t="s">
        <v>331</v>
      </c>
    </row>
    <row r="45" customFormat="false" ht="35.05" hidden="false" customHeight="false" outlineLevel="0" collapsed="false">
      <c r="A45" s="5" t="s">
        <v>327</v>
      </c>
      <c r="B45" s="3" t="s">
        <v>332</v>
      </c>
      <c r="C45" s="3" t="s">
        <v>333</v>
      </c>
      <c r="D45" s="3" t="s">
        <v>330</v>
      </c>
      <c r="E45" s="3" t="s">
        <v>331</v>
      </c>
    </row>
    <row r="46" customFormat="false" ht="35.05" hidden="false" customHeight="false" outlineLevel="0" collapsed="false">
      <c r="A46" s="5" t="s">
        <v>334</v>
      </c>
      <c r="B46" s="3" t="s">
        <v>335</v>
      </c>
      <c r="C46" s="3" t="s">
        <v>336</v>
      </c>
      <c r="D46" s="3" t="s">
        <v>337</v>
      </c>
      <c r="E46" s="3" t="s">
        <v>338</v>
      </c>
    </row>
  </sheetData>
  <autoFilter ref="A1:E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10"/>
    <col collapsed="false" customWidth="true" hidden="false" outlineLevel="0" max="4" min="4" style="0" width="8"/>
    <col collapsed="false" customWidth="true" hidden="false" outlineLevel="0" max="6" min="5" style="0" width="38"/>
    <col collapsed="false" customWidth="true" hidden="false" outlineLevel="0" max="8" min="7" style="0" width="10"/>
    <col collapsed="false" customWidth="true" hidden="false" outlineLevel="0" max="9" min="9" style="0" width="11"/>
    <col collapsed="false" customWidth="true" hidden="false" outlineLevel="0" max="11" min="10" style="0" width="10"/>
    <col collapsed="false" customWidth="true" hidden="false" outlineLevel="0" max="12" min="12" style="0" width="11"/>
    <col collapsed="false" customWidth="true" hidden="false" outlineLevel="0" max="14" min="13" style="0" width="9"/>
    <col collapsed="false" customWidth="true" hidden="false" outlineLevel="0" max="15" min="15" style="0" width="8"/>
    <col collapsed="false" customWidth="true" hidden="false" outlineLevel="0" max="16" min="16" style="0" width="40"/>
    <col collapsed="false" customWidth="true" hidden="false" outlineLevel="0" max="17" min="17" style="0" width="24"/>
    <col collapsed="false" customWidth="true" hidden="false" outlineLevel="0" max="18" min="18" style="0" width="90"/>
  </cols>
  <sheetData>
    <row r="1" customFormat="false" ht="57.45" hidden="false" customHeight="false" outlineLevel="0" collapsed="false">
      <c r="A1" s="21" t="s">
        <v>339</v>
      </c>
      <c r="B1" s="21" t="s">
        <v>340</v>
      </c>
      <c r="C1" s="21" t="s">
        <v>341</v>
      </c>
      <c r="D1" s="21" t="s">
        <v>342</v>
      </c>
      <c r="E1" s="21" t="s">
        <v>343</v>
      </c>
      <c r="F1" s="21" t="s">
        <v>344</v>
      </c>
      <c r="G1" s="21" t="s">
        <v>345</v>
      </c>
      <c r="H1" s="21" t="s">
        <v>346</v>
      </c>
      <c r="I1" s="21" t="s">
        <v>347</v>
      </c>
      <c r="J1" s="21" t="s">
        <v>348</v>
      </c>
      <c r="K1" s="21" t="s">
        <v>349</v>
      </c>
      <c r="L1" s="21" t="s">
        <v>230</v>
      </c>
      <c r="M1" s="21" t="s">
        <v>350</v>
      </c>
      <c r="N1" s="21" t="s">
        <v>351</v>
      </c>
      <c r="O1" s="21" t="s">
        <v>352</v>
      </c>
      <c r="P1" s="21" t="s">
        <v>353</v>
      </c>
      <c r="Q1" s="21" t="s">
        <v>354</v>
      </c>
      <c r="R1" s="21" t="s">
        <v>355</v>
      </c>
    </row>
    <row r="2" customFormat="false" ht="15" hidden="false" customHeight="false" outlineLevel="0" collapsed="false">
      <c r="A2" s="4" t="s">
        <v>356</v>
      </c>
      <c r="B2" s="4" t="s">
        <v>357</v>
      </c>
      <c r="C2" s="4" t="s">
        <v>358</v>
      </c>
      <c r="D2" s="4" t="s">
        <v>359</v>
      </c>
      <c r="E2" s="4" t="s">
        <v>360</v>
      </c>
      <c r="F2" s="4" t="s">
        <v>361</v>
      </c>
      <c r="G2" s="4" t="n">
        <v>75</v>
      </c>
      <c r="H2" s="4" t="s">
        <v>359</v>
      </c>
      <c r="I2" s="22" t="n">
        <v>0.11</v>
      </c>
      <c r="J2" s="4" t="n">
        <v>51</v>
      </c>
      <c r="K2" s="4" t="n">
        <v>43</v>
      </c>
      <c r="L2" s="23" t="n">
        <f aca="false">IF(J2&gt;=5,K2/J2,"too few builds")</f>
        <v>0.843137254901961</v>
      </c>
      <c r="M2" s="22" t="n">
        <v>0</v>
      </c>
      <c r="N2" s="22" t="n">
        <v>0</v>
      </c>
      <c r="O2" s="4"/>
      <c r="P2" s="4"/>
      <c r="Q2" s="4"/>
      <c r="R2" s="4" t="s">
        <v>362</v>
      </c>
    </row>
    <row r="3" customFormat="false" ht="15" hidden="false" customHeight="false" outlineLevel="0" collapsed="false">
      <c r="A3" s="4" t="s">
        <v>363</v>
      </c>
      <c r="B3" s="4" t="s">
        <v>364</v>
      </c>
      <c r="C3" s="4" t="s">
        <v>358</v>
      </c>
      <c r="D3" s="4" t="s">
        <v>359</v>
      </c>
      <c r="E3" s="4" t="s">
        <v>365</v>
      </c>
      <c r="F3" s="4" t="s">
        <v>365</v>
      </c>
      <c r="G3" s="4" t="n">
        <v>100</v>
      </c>
      <c r="H3" s="4" t="s">
        <v>359</v>
      </c>
      <c r="I3" s="22" t="n">
        <v>0.04</v>
      </c>
      <c r="J3" s="4" t="n">
        <v>32</v>
      </c>
      <c r="K3" s="4" t="n">
        <v>26</v>
      </c>
      <c r="L3" s="23" t="n">
        <f aca="false">IF(J3&gt;=5,K3/J3,"too few builds")</f>
        <v>0.8125</v>
      </c>
      <c r="M3" s="22" t="n">
        <v>0</v>
      </c>
      <c r="N3" s="22" t="n">
        <v>0</v>
      </c>
      <c r="O3" s="4"/>
      <c r="P3" s="4"/>
      <c r="Q3" s="4"/>
      <c r="R3" s="4" t="s">
        <v>366</v>
      </c>
    </row>
    <row r="4" customFormat="false" ht="15" hidden="false" customHeight="false" outlineLevel="0" collapsed="false">
      <c r="A4" s="4" t="s">
        <v>367</v>
      </c>
      <c r="B4" s="4" t="s">
        <v>368</v>
      </c>
      <c r="C4" s="4" t="s">
        <v>332</v>
      </c>
      <c r="D4" s="4" t="s">
        <v>369</v>
      </c>
      <c r="E4" s="4" t="s">
        <v>370</v>
      </c>
      <c r="F4" s="4" t="s">
        <v>371</v>
      </c>
      <c r="G4" s="4" t="n">
        <v>0</v>
      </c>
      <c r="H4" s="4" t="s">
        <v>369</v>
      </c>
      <c r="I4" s="22" t="n">
        <v>0</v>
      </c>
      <c r="J4" s="4" t="n">
        <v>28</v>
      </c>
      <c r="K4" s="4" t="n">
        <v>12</v>
      </c>
      <c r="L4" s="23" t="n">
        <f aca="false">IF(J4&gt;=5,K4/J4,"too few builds")</f>
        <v>0.428571428571429</v>
      </c>
      <c r="M4" s="22" t="n">
        <v>0</v>
      </c>
      <c r="N4" s="22" t="n">
        <v>0</v>
      </c>
      <c r="O4" s="4"/>
      <c r="P4" s="4"/>
      <c r="Q4" s="4"/>
      <c r="R4" s="4" t="s">
        <v>372</v>
      </c>
    </row>
    <row r="5" customFormat="false" ht="15" hidden="false" customHeight="false" outlineLevel="0" collapsed="false">
      <c r="A5" s="4" t="s">
        <v>373</v>
      </c>
      <c r="B5" s="4" t="s">
        <v>374</v>
      </c>
      <c r="C5" s="4" t="s">
        <v>332</v>
      </c>
      <c r="D5" s="4" t="s">
        <v>369</v>
      </c>
      <c r="E5" s="4" t="s">
        <v>375</v>
      </c>
      <c r="F5" s="4" t="s">
        <v>371</v>
      </c>
      <c r="G5" s="4" t="n">
        <v>0</v>
      </c>
      <c r="H5" s="4" t="s">
        <v>369</v>
      </c>
      <c r="I5" s="22" t="n">
        <v>0</v>
      </c>
      <c r="J5" s="4" t="n">
        <v>51</v>
      </c>
      <c r="K5" s="4" t="n">
        <v>20</v>
      </c>
      <c r="L5" s="23" t="n">
        <f aca="false">IF(J5&gt;=5,K5/J5,"too few builds")</f>
        <v>0.392156862745098</v>
      </c>
      <c r="M5" s="22" t="n">
        <v>0</v>
      </c>
      <c r="N5" s="22" t="n">
        <v>0</v>
      </c>
      <c r="O5" s="4"/>
      <c r="P5" s="4"/>
      <c r="Q5" s="4"/>
      <c r="R5" s="4" t="s">
        <v>376</v>
      </c>
    </row>
    <row r="6" customFormat="false" ht="15" hidden="false" customHeight="false" outlineLevel="0" collapsed="false">
      <c r="A6" s="4" t="s">
        <v>377</v>
      </c>
      <c r="B6" s="4" t="s">
        <v>378</v>
      </c>
      <c r="C6" s="4" t="s">
        <v>379</v>
      </c>
      <c r="D6" s="4" t="s">
        <v>359</v>
      </c>
      <c r="E6" s="4" t="s">
        <v>380</v>
      </c>
      <c r="F6" s="4" t="s">
        <v>380</v>
      </c>
      <c r="G6" s="4" t="n">
        <v>70</v>
      </c>
      <c r="H6" s="4" t="s">
        <v>359</v>
      </c>
      <c r="I6" s="22" t="n">
        <v>0.07</v>
      </c>
      <c r="J6" s="4" t="n">
        <v>44</v>
      </c>
      <c r="K6" s="4" t="n">
        <v>23</v>
      </c>
      <c r="L6" s="23" t="n">
        <f aca="false">IF(J6&gt;=5,K6/J6,"too few builds")</f>
        <v>0.522727272727273</v>
      </c>
      <c r="M6" s="22" t="n">
        <v>0</v>
      </c>
      <c r="N6" s="22" t="n">
        <v>0</v>
      </c>
      <c r="O6" s="4"/>
      <c r="P6" s="4"/>
      <c r="Q6" s="4"/>
      <c r="R6" s="4" t="s">
        <v>381</v>
      </c>
    </row>
    <row r="7" customFormat="false" ht="15" hidden="false" customHeight="false" outlineLevel="0" collapsed="false">
      <c r="A7" s="4" t="s">
        <v>382</v>
      </c>
      <c r="B7" s="4" t="s">
        <v>383</v>
      </c>
      <c r="C7" s="4" t="s">
        <v>379</v>
      </c>
      <c r="D7" s="4" t="s">
        <v>369</v>
      </c>
      <c r="E7" s="4" t="s">
        <v>384</v>
      </c>
      <c r="F7" s="4" t="s">
        <v>385</v>
      </c>
      <c r="G7" s="4" t="n">
        <v>20</v>
      </c>
      <c r="H7" s="4" t="s">
        <v>359</v>
      </c>
      <c r="I7" s="22" t="n">
        <v>0.15</v>
      </c>
      <c r="J7" s="4" t="n">
        <v>88</v>
      </c>
      <c r="K7" s="4" t="n">
        <v>77</v>
      </c>
      <c r="L7" s="23" t="n">
        <f aca="false">IF(J7&gt;=5,K7/J7,"too few builds")</f>
        <v>0.875</v>
      </c>
      <c r="M7" s="22" t="n">
        <v>0</v>
      </c>
      <c r="N7" s="22" t="n">
        <v>0</v>
      </c>
      <c r="O7" s="4"/>
      <c r="P7" s="4"/>
      <c r="Q7" s="4"/>
      <c r="R7" s="4" t="s">
        <v>386</v>
      </c>
    </row>
    <row r="8" customFormat="false" ht="15" hidden="false" customHeight="false" outlineLevel="0" collapsed="false">
      <c r="A8" s="4" t="s">
        <v>387</v>
      </c>
      <c r="B8" s="4" t="s">
        <v>388</v>
      </c>
      <c r="C8" s="4" t="s">
        <v>379</v>
      </c>
      <c r="D8" s="4" t="s">
        <v>369</v>
      </c>
      <c r="E8" s="4" t="s">
        <v>389</v>
      </c>
      <c r="F8" s="4" t="s">
        <v>390</v>
      </c>
      <c r="G8" s="4" t="n">
        <v>20</v>
      </c>
      <c r="H8" s="4" t="s">
        <v>359</v>
      </c>
      <c r="I8" s="22" t="n">
        <v>0.17</v>
      </c>
      <c r="J8" s="4" t="n">
        <v>160</v>
      </c>
      <c r="K8" s="4" t="n">
        <v>81</v>
      </c>
      <c r="L8" s="23" t="n">
        <f aca="false">IF(J8&gt;=5,K8/J8,"too few builds")</f>
        <v>0.50625</v>
      </c>
      <c r="M8" s="22" t="n">
        <v>0</v>
      </c>
      <c r="N8" s="22" t="n">
        <v>0</v>
      </c>
      <c r="O8" s="4"/>
      <c r="P8" s="4"/>
      <c r="Q8" s="4"/>
      <c r="R8" s="4" t="s">
        <v>391</v>
      </c>
    </row>
    <row r="9" customFormat="false" ht="15" hidden="false" customHeight="false" outlineLevel="0" collapsed="false">
      <c r="A9" s="4" t="s">
        <v>392</v>
      </c>
      <c r="B9" s="4" t="s">
        <v>393</v>
      </c>
      <c r="C9" s="4" t="s">
        <v>379</v>
      </c>
      <c r="D9" s="4" t="s">
        <v>369</v>
      </c>
      <c r="E9" s="4" t="s">
        <v>394</v>
      </c>
      <c r="F9" s="4" t="s">
        <v>395</v>
      </c>
      <c r="G9" s="4" t="n">
        <v>20</v>
      </c>
      <c r="H9" s="4" t="s">
        <v>359</v>
      </c>
      <c r="I9" s="22" t="n">
        <v>0.16</v>
      </c>
      <c r="J9" s="4" t="n">
        <v>112</v>
      </c>
      <c r="K9" s="4" t="n">
        <v>69</v>
      </c>
      <c r="L9" s="23" t="n">
        <f aca="false">IF(J9&gt;=5,K9/J9,"too few builds")</f>
        <v>0.616071428571429</v>
      </c>
      <c r="M9" s="22" t="n">
        <v>0</v>
      </c>
      <c r="N9" s="22" t="n">
        <v>0</v>
      </c>
      <c r="O9" s="4"/>
      <c r="P9" s="4"/>
      <c r="Q9" s="4"/>
      <c r="R9" s="4" t="s">
        <v>396</v>
      </c>
    </row>
    <row r="10" customFormat="false" ht="15" hidden="false" customHeight="false" outlineLevel="0" collapsed="false">
      <c r="A10" s="4" t="s">
        <v>397</v>
      </c>
      <c r="B10" s="4" t="s">
        <v>398</v>
      </c>
      <c r="C10" s="4" t="s">
        <v>379</v>
      </c>
      <c r="D10" s="4" t="s">
        <v>369</v>
      </c>
      <c r="E10" s="4" t="s">
        <v>399</v>
      </c>
      <c r="F10" s="4" t="s">
        <v>400</v>
      </c>
      <c r="G10" s="4" t="n">
        <v>20</v>
      </c>
      <c r="H10" s="4" t="s">
        <v>359</v>
      </c>
      <c r="I10" s="22" t="n">
        <v>0.13</v>
      </c>
      <c r="J10" s="4" t="n">
        <v>108</v>
      </c>
      <c r="K10" s="4" t="n">
        <v>49</v>
      </c>
      <c r="L10" s="23" t="n">
        <f aca="false">IF(J10&gt;=5,K10/J10,"too few builds")</f>
        <v>0.453703703703704</v>
      </c>
      <c r="M10" s="22" t="n">
        <v>0</v>
      </c>
      <c r="N10" s="22" t="n">
        <v>0</v>
      </c>
      <c r="O10" s="4"/>
      <c r="P10" s="4"/>
      <c r="Q10" s="4"/>
      <c r="R10" s="4" t="s">
        <v>401</v>
      </c>
    </row>
    <row r="11" customFormat="false" ht="15" hidden="false" customHeight="false" outlineLevel="0" collapsed="false">
      <c r="A11" s="4" t="s">
        <v>402</v>
      </c>
      <c r="B11" s="4" t="s">
        <v>403</v>
      </c>
      <c r="C11" s="4" t="s">
        <v>379</v>
      </c>
      <c r="D11" s="4" t="s">
        <v>369</v>
      </c>
      <c r="E11" s="4" t="s">
        <v>404</v>
      </c>
      <c r="F11" s="4" t="s">
        <v>405</v>
      </c>
      <c r="G11" s="4" t="n">
        <v>20</v>
      </c>
      <c r="H11" s="4" t="s">
        <v>359</v>
      </c>
      <c r="I11" s="22" t="n">
        <v>0.14</v>
      </c>
      <c r="J11" s="4" t="n">
        <v>80</v>
      </c>
      <c r="K11" s="4" t="n">
        <v>69</v>
      </c>
      <c r="L11" s="23" t="n">
        <f aca="false">IF(J11&gt;=5,K11/J11,"too few builds")</f>
        <v>0.8625</v>
      </c>
      <c r="M11" s="22" t="n">
        <v>0</v>
      </c>
      <c r="N11" s="22" t="n">
        <v>0</v>
      </c>
      <c r="O11" s="4"/>
      <c r="P11" s="4"/>
      <c r="Q11" s="4"/>
      <c r="R11" s="4" t="s">
        <v>406</v>
      </c>
    </row>
    <row r="12" customFormat="false" ht="15" hidden="false" customHeight="false" outlineLevel="0" collapsed="false">
      <c r="A12" s="4" t="s">
        <v>407</v>
      </c>
      <c r="B12" s="4" t="s">
        <v>408</v>
      </c>
      <c r="C12" s="4" t="s">
        <v>379</v>
      </c>
      <c r="D12" s="4" t="s">
        <v>369</v>
      </c>
      <c r="E12" s="4" t="s">
        <v>409</v>
      </c>
      <c r="F12" s="4" t="s">
        <v>410</v>
      </c>
      <c r="G12" s="4" t="n">
        <v>20</v>
      </c>
      <c r="H12" s="4" t="s">
        <v>359</v>
      </c>
      <c r="I12" s="22" t="n">
        <v>0.1</v>
      </c>
      <c r="J12" s="4" t="n">
        <v>121</v>
      </c>
      <c r="K12" s="4" t="n">
        <v>50</v>
      </c>
      <c r="L12" s="23" t="n">
        <f aca="false">IF(J12&gt;=5,K12/J12,"too few builds")</f>
        <v>0.413223140495868</v>
      </c>
      <c r="M12" s="22" t="n">
        <v>0</v>
      </c>
      <c r="N12" s="22" t="n">
        <v>0</v>
      </c>
      <c r="O12" s="4"/>
      <c r="P12" s="4"/>
      <c r="Q12" s="4"/>
      <c r="R12" s="4" t="s">
        <v>411</v>
      </c>
    </row>
    <row r="13" customFormat="false" ht="15" hidden="false" customHeight="false" outlineLevel="0" collapsed="false">
      <c r="A13" s="4" t="s">
        <v>412</v>
      </c>
      <c r="B13" s="4" t="s">
        <v>413</v>
      </c>
      <c r="C13" s="4" t="s">
        <v>379</v>
      </c>
      <c r="D13" s="4" t="s">
        <v>369</v>
      </c>
      <c r="E13" s="4" t="s">
        <v>414</v>
      </c>
      <c r="F13" s="4" t="s">
        <v>415</v>
      </c>
      <c r="G13" s="4" t="n">
        <v>20</v>
      </c>
      <c r="H13" s="4" t="s">
        <v>359</v>
      </c>
      <c r="I13" s="22" t="n">
        <v>0.1</v>
      </c>
      <c r="J13" s="4" t="n">
        <v>106</v>
      </c>
      <c r="K13" s="4" t="n">
        <v>48</v>
      </c>
      <c r="L13" s="23" t="n">
        <f aca="false">IF(J13&gt;=5,K13/J13,"too few builds")</f>
        <v>0.452830188679245</v>
      </c>
      <c r="M13" s="22" t="n">
        <v>0</v>
      </c>
      <c r="N13" s="22" t="n">
        <v>0</v>
      </c>
      <c r="O13" s="4"/>
      <c r="P13" s="4"/>
      <c r="Q13" s="4"/>
      <c r="R13" s="4" t="s">
        <v>416</v>
      </c>
    </row>
    <row r="14" customFormat="false" ht="15" hidden="false" customHeight="false" outlineLevel="0" collapsed="false">
      <c r="A14" s="4" t="s">
        <v>417</v>
      </c>
      <c r="B14" s="4" t="s">
        <v>418</v>
      </c>
      <c r="C14" s="4" t="s">
        <v>419</v>
      </c>
      <c r="D14" s="4" t="s">
        <v>359</v>
      </c>
      <c r="E14" s="4" t="s">
        <v>420</v>
      </c>
      <c r="F14" s="4" t="s">
        <v>420</v>
      </c>
      <c r="G14" s="4" t="n">
        <v>65</v>
      </c>
      <c r="H14" s="4" t="s">
        <v>359</v>
      </c>
      <c r="I14" s="22" t="n">
        <v>0.03</v>
      </c>
      <c r="J14" s="4" t="n">
        <v>54</v>
      </c>
      <c r="K14" s="4" t="n">
        <v>14</v>
      </c>
      <c r="L14" s="23" t="n">
        <f aca="false">IF(J14&gt;=5,K14/J14,"too few builds")</f>
        <v>0.259259259259259</v>
      </c>
      <c r="M14" s="22" t="n">
        <v>0</v>
      </c>
      <c r="N14" s="22" t="n">
        <v>0</v>
      </c>
      <c r="O14" s="4"/>
      <c r="P14" s="4"/>
      <c r="Q14" s="4"/>
      <c r="R14" s="4" t="s">
        <v>421</v>
      </c>
    </row>
    <row r="15" customFormat="false" ht="15" hidden="false" customHeight="false" outlineLevel="0" collapsed="false">
      <c r="A15" s="4" t="s">
        <v>422</v>
      </c>
      <c r="B15" s="4" t="s">
        <v>423</v>
      </c>
      <c r="C15" s="4" t="s">
        <v>379</v>
      </c>
      <c r="D15" s="4" t="s">
        <v>359</v>
      </c>
      <c r="E15" s="4" t="s">
        <v>424</v>
      </c>
      <c r="F15" s="4" t="s">
        <v>424</v>
      </c>
      <c r="G15" s="4" t="n">
        <v>40</v>
      </c>
      <c r="H15" s="4" t="s">
        <v>359</v>
      </c>
      <c r="I15" s="22" t="n">
        <v>0.19</v>
      </c>
      <c r="J15" s="4" t="n">
        <v>100</v>
      </c>
      <c r="K15" s="4" t="n">
        <v>83</v>
      </c>
      <c r="L15" s="23" t="n">
        <f aca="false">IF(J15&gt;=5,K15/J15,"too few builds")</f>
        <v>0.83</v>
      </c>
      <c r="M15" s="22" t="n">
        <v>0.1</v>
      </c>
      <c r="N15" s="22" t="n">
        <v>0</v>
      </c>
      <c r="O15" s="4" t="s">
        <v>359</v>
      </c>
      <c r="P15" s="4" t="s">
        <v>425</v>
      </c>
      <c r="Q15" s="4"/>
      <c r="R15" s="4" t="s">
        <v>426</v>
      </c>
    </row>
    <row r="16" customFormat="false" ht="15" hidden="false" customHeight="false" outlineLevel="0" collapsed="false">
      <c r="A16" s="4" t="s">
        <v>427</v>
      </c>
      <c r="B16" s="4" t="s">
        <v>428</v>
      </c>
      <c r="C16" s="4" t="s">
        <v>379</v>
      </c>
      <c r="D16" s="4" t="s">
        <v>359</v>
      </c>
      <c r="E16" s="4" t="s">
        <v>429</v>
      </c>
      <c r="F16" s="4" t="s">
        <v>429</v>
      </c>
      <c r="G16" s="4" t="n">
        <v>65</v>
      </c>
      <c r="H16" s="4" t="s">
        <v>359</v>
      </c>
      <c r="I16" s="22" t="n">
        <v>0.19</v>
      </c>
      <c r="J16" s="4" t="n">
        <v>125</v>
      </c>
      <c r="K16" s="4" t="n">
        <v>99</v>
      </c>
      <c r="L16" s="23" t="n">
        <f aca="false">IF(J16&gt;=5,K16/J16,"too few builds")</f>
        <v>0.792</v>
      </c>
      <c r="M16" s="22" t="n">
        <v>0</v>
      </c>
      <c r="N16" s="22" t="n">
        <v>0</v>
      </c>
      <c r="O16" s="4"/>
      <c r="P16" s="4"/>
      <c r="Q16" s="4"/>
      <c r="R16" s="4" t="s">
        <v>430</v>
      </c>
    </row>
    <row r="17" customFormat="false" ht="15" hidden="false" customHeight="false" outlineLevel="0" collapsed="false">
      <c r="A17" s="4" t="s">
        <v>431</v>
      </c>
      <c r="B17" s="4" t="s">
        <v>432</v>
      </c>
      <c r="C17" s="4" t="s">
        <v>379</v>
      </c>
      <c r="D17" s="4" t="s">
        <v>369</v>
      </c>
      <c r="E17" s="4" t="s">
        <v>433</v>
      </c>
      <c r="F17" s="4" t="s">
        <v>433</v>
      </c>
      <c r="G17" s="4" t="n">
        <v>75</v>
      </c>
      <c r="H17" s="4" t="s">
        <v>359</v>
      </c>
      <c r="I17" s="22" t="n">
        <v>0</v>
      </c>
      <c r="J17" s="4" t="n">
        <v>44</v>
      </c>
      <c r="K17" s="4" t="n">
        <v>12</v>
      </c>
      <c r="L17" s="23" t="n">
        <f aca="false">IF(J17&gt;=5,K17/J17,"too few builds")</f>
        <v>0.272727272727273</v>
      </c>
      <c r="M17" s="22" t="n">
        <v>0</v>
      </c>
      <c r="N17" s="22" t="n">
        <v>0</v>
      </c>
      <c r="O17" s="4"/>
      <c r="P17" s="4"/>
      <c r="Q17" s="4"/>
      <c r="R17" s="4" t="s">
        <v>434</v>
      </c>
    </row>
    <row r="18" customFormat="false" ht="15" hidden="false" customHeight="false" outlineLevel="0" collapsed="false">
      <c r="A18" s="4" t="s">
        <v>435</v>
      </c>
      <c r="B18" s="4" t="s">
        <v>436</v>
      </c>
      <c r="C18" s="4" t="s">
        <v>379</v>
      </c>
      <c r="D18" s="4" t="s">
        <v>359</v>
      </c>
      <c r="E18" s="4" t="s">
        <v>437</v>
      </c>
      <c r="F18" s="4" t="s">
        <v>437</v>
      </c>
      <c r="G18" s="4" t="n">
        <v>40</v>
      </c>
      <c r="H18" s="4" t="s">
        <v>359</v>
      </c>
      <c r="I18" s="22" t="n">
        <v>0.23</v>
      </c>
      <c r="J18" s="4" t="n">
        <v>130</v>
      </c>
      <c r="K18" s="4" t="n">
        <v>114</v>
      </c>
      <c r="L18" s="23" t="n">
        <f aca="false">IF(J18&gt;=5,K18/J18,"too few builds")</f>
        <v>0.876923076923077</v>
      </c>
      <c r="M18" s="22" t="n">
        <v>0</v>
      </c>
      <c r="N18" s="22" t="n">
        <v>0</v>
      </c>
      <c r="O18" s="4"/>
      <c r="P18" s="4" t="s">
        <v>438</v>
      </c>
      <c r="Q18" s="4"/>
      <c r="R18" s="4" t="s">
        <v>439</v>
      </c>
    </row>
    <row r="19" customFormat="false" ht="15" hidden="false" customHeight="false" outlineLevel="0" collapsed="false">
      <c r="A19" s="4" t="s">
        <v>440</v>
      </c>
      <c r="B19" s="4" t="s">
        <v>441</v>
      </c>
      <c r="C19" s="4" t="s">
        <v>379</v>
      </c>
      <c r="D19" s="4" t="s">
        <v>359</v>
      </c>
      <c r="E19" s="4" t="s">
        <v>442</v>
      </c>
      <c r="F19" s="4" t="s">
        <v>442</v>
      </c>
      <c r="G19" s="4" t="n">
        <v>70</v>
      </c>
      <c r="H19" s="4" t="s">
        <v>359</v>
      </c>
      <c r="I19" s="22" t="n">
        <v>0.13</v>
      </c>
      <c r="J19" s="4" t="n">
        <v>71</v>
      </c>
      <c r="K19" s="4" t="n">
        <v>53</v>
      </c>
      <c r="L19" s="23" t="n">
        <f aca="false">IF(J19&gt;=5,K19/J19,"too few builds")</f>
        <v>0.746478873239437</v>
      </c>
      <c r="M19" s="22" t="n">
        <v>0</v>
      </c>
      <c r="N19" s="22" t="n">
        <v>0</v>
      </c>
      <c r="O19" s="4"/>
      <c r="P19" s="4"/>
      <c r="Q19" s="4"/>
      <c r="R19" s="4" t="s">
        <v>443</v>
      </c>
    </row>
    <row r="20" customFormat="false" ht="15" hidden="false" customHeight="false" outlineLevel="0" collapsed="false">
      <c r="A20" s="4" t="s">
        <v>444</v>
      </c>
      <c r="B20" s="4" t="s">
        <v>445</v>
      </c>
      <c r="C20" s="4" t="s">
        <v>358</v>
      </c>
      <c r="D20" s="4" t="s">
        <v>359</v>
      </c>
      <c r="E20" s="4" t="s">
        <v>446</v>
      </c>
      <c r="F20" s="4" t="s">
        <v>447</v>
      </c>
      <c r="G20" s="4" t="n">
        <v>200</v>
      </c>
      <c r="H20" s="4" t="s">
        <v>359</v>
      </c>
      <c r="I20" s="22" t="n">
        <v>0</v>
      </c>
      <c r="J20" s="4" t="n">
        <v>9</v>
      </c>
      <c r="K20" s="4" t="n">
        <v>7</v>
      </c>
      <c r="L20" s="23" t="n">
        <f aca="false">IF(J20&gt;=5,K20/J20,"too few builds")</f>
        <v>0.777777777777778</v>
      </c>
      <c r="M20" s="22" t="n">
        <v>0</v>
      </c>
      <c r="N20" s="22" t="n">
        <v>0</v>
      </c>
      <c r="O20" s="4"/>
      <c r="P20" s="4"/>
      <c r="Q20" s="4"/>
      <c r="R20" s="4" t="s">
        <v>448</v>
      </c>
    </row>
    <row r="21" customFormat="false" ht="15" hidden="false" customHeight="false" outlineLevel="0" collapsed="false">
      <c r="A21" s="4" t="s">
        <v>449</v>
      </c>
      <c r="B21" s="4" t="s">
        <v>450</v>
      </c>
      <c r="C21" s="4" t="s">
        <v>419</v>
      </c>
      <c r="D21" s="4" t="s">
        <v>359</v>
      </c>
      <c r="E21" s="4" t="s">
        <v>451</v>
      </c>
      <c r="F21" s="4" t="s">
        <v>452</v>
      </c>
      <c r="G21" s="4" t="n">
        <v>60</v>
      </c>
      <c r="H21" s="4" t="s">
        <v>359</v>
      </c>
      <c r="I21" s="22" t="n">
        <v>0.05</v>
      </c>
      <c r="J21" s="4" t="n">
        <v>77</v>
      </c>
      <c r="K21" s="4" t="n">
        <v>25</v>
      </c>
      <c r="L21" s="23" t="n">
        <f aca="false">IF(J21&gt;=5,K21/J21,"too few builds")</f>
        <v>0.324675324675325</v>
      </c>
      <c r="M21" s="22" t="n">
        <v>0</v>
      </c>
      <c r="N21" s="22" t="n">
        <v>0</v>
      </c>
      <c r="O21" s="4"/>
      <c r="P21" s="4"/>
      <c r="Q21" s="4"/>
      <c r="R21" s="4" t="s">
        <v>453</v>
      </c>
    </row>
    <row r="22" customFormat="false" ht="15" hidden="false" customHeight="false" outlineLevel="0" collapsed="false">
      <c r="A22" s="4" t="s">
        <v>454</v>
      </c>
      <c r="B22" s="4" t="s">
        <v>445</v>
      </c>
      <c r="C22" s="4" t="s">
        <v>419</v>
      </c>
      <c r="D22" s="4" t="s">
        <v>359</v>
      </c>
      <c r="E22" s="4" t="s">
        <v>455</v>
      </c>
      <c r="F22" s="4" t="s">
        <v>455</v>
      </c>
      <c r="G22" s="4" t="n">
        <v>105</v>
      </c>
      <c r="H22" s="4" t="s">
        <v>359</v>
      </c>
      <c r="I22" s="22" t="n">
        <v>0.12</v>
      </c>
      <c r="J22" s="4" t="n">
        <v>73</v>
      </c>
      <c r="K22" s="4" t="n">
        <v>64</v>
      </c>
      <c r="L22" s="23" t="n">
        <f aca="false">IF(J22&gt;=5,K22/J22,"too few builds")</f>
        <v>0.876712328767123</v>
      </c>
      <c r="M22" s="22" t="n">
        <v>0</v>
      </c>
      <c r="N22" s="22" t="n">
        <v>0</v>
      </c>
      <c r="O22" s="4"/>
      <c r="P22" s="4"/>
      <c r="Q22" s="4"/>
      <c r="R22" s="4" t="s">
        <v>456</v>
      </c>
    </row>
    <row r="23" customFormat="false" ht="15" hidden="false" customHeight="false" outlineLevel="0" collapsed="false">
      <c r="A23" s="4" t="s">
        <v>457</v>
      </c>
      <c r="B23" s="4" t="s">
        <v>458</v>
      </c>
      <c r="C23" s="4" t="s">
        <v>332</v>
      </c>
      <c r="D23" s="4" t="s">
        <v>369</v>
      </c>
      <c r="E23" s="4" t="s">
        <v>459</v>
      </c>
      <c r="F23" s="4" t="s">
        <v>371</v>
      </c>
      <c r="G23" s="4" t="n">
        <v>0</v>
      </c>
      <c r="H23" s="4" t="s">
        <v>369</v>
      </c>
      <c r="I23" s="22" t="n">
        <v>0</v>
      </c>
      <c r="J23" s="4" t="n">
        <v>19</v>
      </c>
      <c r="K23" s="4" t="n">
        <v>3</v>
      </c>
      <c r="L23" s="23" t="n">
        <f aca="false">IF(J23&gt;=5,K23/J23,"too few builds")</f>
        <v>0.157894736842105</v>
      </c>
      <c r="M23" s="22" t="n">
        <v>0</v>
      </c>
      <c r="N23" s="22" t="n">
        <v>0</v>
      </c>
      <c r="O23" s="4"/>
      <c r="P23" s="4"/>
      <c r="Q23" s="4"/>
      <c r="R23" s="4" t="s">
        <v>460</v>
      </c>
    </row>
    <row r="24" customFormat="false" ht="15" hidden="false" customHeight="false" outlineLevel="0" collapsed="false">
      <c r="A24" s="4" t="s">
        <v>461</v>
      </c>
      <c r="B24" s="4" t="s">
        <v>403</v>
      </c>
      <c r="C24" s="4" t="s">
        <v>358</v>
      </c>
      <c r="D24" s="4" t="s">
        <v>359</v>
      </c>
      <c r="E24" s="4" t="s">
        <v>462</v>
      </c>
      <c r="F24" s="4" t="s">
        <v>462</v>
      </c>
      <c r="G24" s="4" t="n">
        <v>100</v>
      </c>
      <c r="H24" s="4" t="s">
        <v>359</v>
      </c>
      <c r="I24" s="22" t="n">
        <v>0.03</v>
      </c>
      <c r="J24" s="4" t="n">
        <v>17</v>
      </c>
      <c r="K24" s="4" t="n">
        <v>16</v>
      </c>
      <c r="L24" s="23" t="n">
        <f aca="false">IF(J24&gt;=5,K24/J24,"too few builds")</f>
        <v>0.941176470588235</v>
      </c>
      <c r="M24" s="22" t="n">
        <v>0</v>
      </c>
      <c r="N24" s="22" t="n">
        <v>0</v>
      </c>
      <c r="O24" s="4"/>
      <c r="P24" s="4" t="s">
        <v>463</v>
      </c>
      <c r="Q24" s="4"/>
      <c r="R24" s="4" t="s">
        <v>464</v>
      </c>
    </row>
    <row r="25" customFormat="false" ht="15" hidden="false" customHeight="false" outlineLevel="0" collapsed="false">
      <c r="A25" s="4" t="s">
        <v>465</v>
      </c>
      <c r="B25" s="4" t="s">
        <v>466</v>
      </c>
      <c r="C25" s="4" t="s">
        <v>379</v>
      </c>
      <c r="D25" s="4" t="s">
        <v>359</v>
      </c>
      <c r="E25" s="4" t="s">
        <v>467</v>
      </c>
      <c r="F25" s="4" t="s">
        <v>468</v>
      </c>
      <c r="G25" s="4" t="n">
        <v>35</v>
      </c>
      <c r="H25" s="4" t="s">
        <v>359</v>
      </c>
      <c r="I25" s="22" t="n">
        <v>0.09</v>
      </c>
      <c r="J25" s="4" t="n">
        <v>85</v>
      </c>
      <c r="K25" s="4" t="n">
        <v>40</v>
      </c>
      <c r="L25" s="23" t="n">
        <f aca="false">IF(J25&gt;=5,K25/J25,"too few builds")</f>
        <v>0.470588235294118</v>
      </c>
      <c r="M25" s="22" t="n">
        <v>0.1</v>
      </c>
      <c r="N25" s="22" t="n">
        <v>0</v>
      </c>
      <c r="O25" s="4"/>
      <c r="P25" s="4"/>
      <c r="Q25" s="4" t="s">
        <v>469</v>
      </c>
      <c r="R25" s="4" t="s">
        <v>470</v>
      </c>
    </row>
    <row r="26" customFormat="false" ht="15" hidden="false" customHeight="false" outlineLevel="0" collapsed="false">
      <c r="A26" s="4" t="s">
        <v>469</v>
      </c>
      <c r="B26" s="4" t="s">
        <v>466</v>
      </c>
      <c r="C26" s="4" t="s">
        <v>379</v>
      </c>
      <c r="D26" s="4" t="s">
        <v>359</v>
      </c>
      <c r="E26" s="4" t="s">
        <v>467</v>
      </c>
      <c r="F26" s="4" t="s">
        <v>468</v>
      </c>
      <c r="G26" s="4" t="n">
        <v>35</v>
      </c>
      <c r="H26" s="4" t="s">
        <v>359</v>
      </c>
      <c r="I26" s="22" t="n">
        <v>0</v>
      </c>
      <c r="J26" s="4" t="n">
        <v>85</v>
      </c>
      <c r="K26" s="4" t="n">
        <v>9</v>
      </c>
      <c r="L26" s="23" t="n">
        <f aca="false">IF(J26&gt;=5,K26/J26,"too few builds")</f>
        <v>0.105882352941176</v>
      </c>
      <c r="M26" s="22" t="n">
        <v>0</v>
      </c>
      <c r="N26" s="22" t="n">
        <v>0</v>
      </c>
      <c r="O26" s="4"/>
      <c r="P26" s="4"/>
      <c r="Q26" s="4" t="s">
        <v>465</v>
      </c>
      <c r="R26" s="4" t="s">
        <v>471</v>
      </c>
    </row>
    <row r="27" customFormat="false" ht="15" hidden="false" customHeight="false" outlineLevel="0" collapsed="false">
      <c r="A27" s="4" t="s">
        <v>472</v>
      </c>
      <c r="B27" s="4" t="s">
        <v>473</v>
      </c>
      <c r="C27" s="4" t="s">
        <v>419</v>
      </c>
      <c r="D27" s="4" t="s">
        <v>359</v>
      </c>
      <c r="E27" s="4" t="s">
        <v>474</v>
      </c>
      <c r="F27" s="4" t="s">
        <v>474</v>
      </c>
      <c r="G27" s="4" t="n">
        <v>75</v>
      </c>
      <c r="H27" s="4" t="s">
        <v>359</v>
      </c>
      <c r="I27" s="22" t="n">
        <v>0.12</v>
      </c>
      <c r="J27" s="4" t="n">
        <v>66</v>
      </c>
      <c r="K27" s="4" t="n">
        <v>62</v>
      </c>
      <c r="L27" s="23" t="n">
        <f aca="false">IF(J27&gt;=5,K27/J27,"too few builds")</f>
        <v>0.939393939393939</v>
      </c>
      <c r="M27" s="22" t="n">
        <v>0</v>
      </c>
      <c r="N27" s="22" t="n">
        <v>0</v>
      </c>
      <c r="O27" s="4"/>
      <c r="P27" s="4"/>
      <c r="Q27" s="4"/>
      <c r="R27" s="4" t="s">
        <v>475</v>
      </c>
    </row>
    <row r="28" customFormat="false" ht="15" hidden="false" customHeight="false" outlineLevel="0" collapsed="false">
      <c r="A28" s="4" t="s">
        <v>476</v>
      </c>
      <c r="B28" s="4" t="s">
        <v>477</v>
      </c>
      <c r="C28" s="4" t="s">
        <v>332</v>
      </c>
      <c r="D28" s="4" t="s">
        <v>369</v>
      </c>
      <c r="E28" s="4" t="s">
        <v>478</v>
      </c>
      <c r="F28" s="4" t="s">
        <v>371</v>
      </c>
      <c r="G28" s="4" t="n">
        <v>0</v>
      </c>
      <c r="H28" s="4" t="s">
        <v>369</v>
      </c>
      <c r="I28" s="22" t="n">
        <v>0</v>
      </c>
      <c r="J28" s="4" t="n">
        <v>11</v>
      </c>
      <c r="K28" s="4" t="n">
        <v>5</v>
      </c>
      <c r="L28" s="23" t="n">
        <f aca="false">IF(J28&gt;=5,K28/J28,"too few builds")</f>
        <v>0.454545454545455</v>
      </c>
      <c r="M28" s="22" t="n">
        <v>0</v>
      </c>
      <c r="N28" s="22" t="n">
        <v>0</v>
      </c>
      <c r="O28" s="4"/>
      <c r="P28" s="4"/>
      <c r="Q28" s="4"/>
      <c r="R28" s="4" t="s">
        <v>479</v>
      </c>
    </row>
    <row r="29" customFormat="false" ht="15" hidden="false" customHeight="false" outlineLevel="0" collapsed="false">
      <c r="A29" s="4" t="s">
        <v>480</v>
      </c>
      <c r="B29" s="4" t="s">
        <v>215</v>
      </c>
      <c r="C29" s="4" t="s">
        <v>332</v>
      </c>
      <c r="D29" s="4" t="s">
        <v>369</v>
      </c>
      <c r="E29" s="4" t="s">
        <v>481</v>
      </c>
      <c r="F29" s="4" t="s">
        <v>371</v>
      </c>
      <c r="G29" s="4" t="n">
        <v>0</v>
      </c>
      <c r="H29" s="4" t="s">
        <v>369</v>
      </c>
      <c r="I29" s="22" t="n">
        <v>0</v>
      </c>
      <c r="J29" s="4" t="n">
        <v>51</v>
      </c>
      <c r="K29" s="4" t="n">
        <v>20</v>
      </c>
      <c r="L29" s="23" t="n">
        <f aca="false">IF(J29&gt;=5,K29/J29,"too few builds")</f>
        <v>0.392156862745098</v>
      </c>
      <c r="M29" s="22" t="n">
        <v>0</v>
      </c>
      <c r="N29" s="22" t="n">
        <v>0</v>
      </c>
      <c r="O29" s="4"/>
      <c r="P29" s="4"/>
      <c r="Q29" s="4"/>
      <c r="R29" s="4"/>
    </row>
    <row r="30" customFormat="false" ht="15" hidden="false" customHeight="false" outlineLevel="0" collapsed="false">
      <c r="A30" s="4" t="s">
        <v>482</v>
      </c>
      <c r="B30" s="4" t="s">
        <v>483</v>
      </c>
      <c r="C30" s="4" t="s">
        <v>358</v>
      </c>
      <c r="D30" s="4" t="s">
        <v>359</v>
      </c>
      <c r="E30" s="4" t="s">
        <v>484</v>
      </c>
      <c r="F30" s="4" t="s">
        <v>485</v>
      </c>
      <c r="G30" s="4" t="n">
        <v>60</v>
      </c>
      <c r="H30" s="4" t="s">
        <v>359</v>
      </c>
      <c r="I30" s="22" t="n">
        <v>0.04</v>
      </c>
      <c r="J30" s="4" t="n">
        <v>175</v>
      </c>
      <c r="K30" s="4" t="n">
        <v>20</v>
      </c>
      <c r="L30" s="23" t="n">
        <f aca="false">IF(J30&gt;=5,K30/J30,"too few builds")</f>
        <v>0.114285714285714</v>
      </c>
      <c r="M30" s="22" t="n">
        <v>0</v>
      </c>
      <c r="N30" s="22" t="n">
        <v>0</v>
      </c>
      <c r="O30" s="4"/>
      <c r="P30" s="4"/>
      <c r="Q30" s="4"/>
      <c r="R30" s="4"/>
    </row>
    <row r="31" customFormat="false" ht="15" hidden="false" customHeight="false" outlineLevel="0" collapsed="false">
      <c r="A31" s="4" t="s">
        <v>486</v>
      </c>
      <c r="B31" s="4" t="s">
        <v>487</v>
      </c>
      <c r="C31" s="4" t="s">
        <v>332</v>
      </c>
      <c r="D31" s="4" t="s">
        <v>369</v>
      </c>
      <c r="E31" s="4" t="s">
        <v>488</v>
      </c>
      <c r="F31" s="4" t="s">
        <v>371</v>
      </c>
      <c r="G31" s="4" t="n">
        <v>0</v>
      </c>
      <c r="H31" s="4" t="s">
        <v>369</v>
      </c>
      <c r="I31" s="22" t="n">
        <v>0</v>
      </c>
      <c r="J31" s="4" t="n">
        <v>18</v>
      </c>
      <c r="K31" s="4" t="n">
        <v>10</v>
      </c>
      <c r="L31" s="23" t="n">
        <f aca="false">IF(J31&gt;=5,K31/J31,"too few builds")</f>
        <v>0.555555555555556</v>
      </c>
      <c r="M31" s="22" t="n">
        <v>0</v>
      </c>
      <c r="N31" s="22" t="n">
        <v>0</v>
      </c>
      <c r="O31" s="4"/>
      <c r="P31" s="4"/>
      <c r="Q31" s="4"/>
      <c r="R31" s="4" t="s">
        <v>489</v>
      </c>
    </row>
    <row r="32" customFormat="false" ht="15" hidden="false" customHeight="false" outlineLevel="0" collapsed="false">
      <c r="A32" s="4" t="s">
        <v>490</v>
      </c>
      <c r="B32" s="4" t="s">
        <v>491</v>
      </c>
      <c r="C32" s="4" t="s">
        <v>379</v>
      </c>
      <c r="D32" s="4" t="s">
        <v>359</v>
      </c>
      <c r="E32" s="4" t="s">
        <v>492</v>
      </c>
      <c r="F32" s="4" t="s">
        <v>492</v>
      </c>
      <c r="G32" s="4" t="n">
        <v>10</v>
      </c>
      <c r="H32" s="4" t="s">
        <v>359</v>
      </c>
      <c r="I32" s="22" t="n">
        <v>0.04</v>
      </c>
      <c r="J32" s="4" t="n">
        <v>329</v>
      </c>
      <c r="K32" s="4" t="n">
        <v>24</v>
      </c>
      <c r="L32" s="23" t="n">
        <f aca="false">IF(J32&gt;=5,K32/J32,"too few builds")</f>
        <v>0.0729483282674772</v>
      </c>
      <c r="M32" s="22" t="n">
        <v>0</v>
      </c>
      <c r="N32" s="22" t="n">
        <v>0</v>
      </c>
      <c r="O32" s="4"/>
      <c r="P32" s="4"/>
      <c r="Q32" s="4"/>
      <c r="R32" s="4" t="s">
        <v>493</v>
      </c>
    </row>
    <row r="33" customFormat="false" ht="15" hidden="false" customHeight="false" outlineLevel="0" collapsed="false">
      <c r="A33" s="4" t="s">
        <v>494</v>
      </c>
      <c r="B33" s="4" t="s">
        <v>495</v>
      </c>
      <c r="C33" s="4" t="s">
        <v>379</v>
      </c>
      <c r="D33" s="4" t="s">
        <v>359</v>
      </c>
      <c r="E33" s="4" t="s">
        <v>496</v>
      </c>
      <c r="F33" s="4" t="s">
        <v>497</v>
      </c>
      <c r="G33" s="4" t="n">
        <v>50</v>
      </c>
      <c r="H33" s="4" t="s">
        <v>359</v>
      </c>
      <c r="I33" s="22" t="n">
        <v>0.06</v>
      </c>
      <c r="J33" s="4" t="n">
        <v>90</v>
      </c>
      <c r="K33" s="4" t="n">
        <v>30</v>
      </c>
      <c r="L33" s="23" t="n">
        <f aca="false">IF(J33&gt;=5,K33/J33,"too few builds")</f>
        <v>0.333333333333333</v>
      </c>
      <c r="M33" s="22" t="n">
        <v>0</v>
      </c>
      <c r="N33" s="22" t="n">
        <v>0</v>
      </c>
      <c r="O33" s="4"/>
      <c r="P33" s="4" t="s">
        <v>498</v>
      </c>
      <c r="Q33" s="4"/>
      <c r="R33" s="4"/>
    </row>
    <row r="34" customFormat="false" ht="15" hidden="false" customHeight="false" outlineLevel="0" collapsed="false">
      <c r="A34" s="4" t="s">
        <v>499</v>
      </c>
      <c r="B34" s="4" t="s">
        <v>500</v>
      </c>
      <c r="C34" s="4" t="s">
        <v>379</v>
      </c>
      <c r="D34" s="4" t="s">
        <v>359</v>
      </c>
      <c r="E34" s="4" t="s">
        <v>501</v>
      </c>
      <c r="F34" s="4" t="s">
        <v>501</v>
      </c>
      <c r="G34" s="4" t="n">
        <v>80</v>
      </c>
      <c r="H34" s="4" t="s">
        <v>359</v>
      </c>
      <c r="I34" s="22" t="n">
        <v>0.11</v>
      </c>
      <c r="J34" s="4" t="n">
        <v>65</v>
      </c>
      <c r="K34" s="4" t="n">
        <v>59</v>
      </c>
      <c r="L34" s="23" t="n">
        <f aca="false">IF(J34&gt;=5,K34/J34,"too few builds")</f>
        <v>0.907692307692308</v>
      </c>
      <c r="M34" s="22" t="n">
        <v>0</v>
      </c>
      <c r="N34" s="22" t="n">
        <v>0</v>
      </c>
      <c r="O34" s="4"/>
      <c r="P34" s="4"/>
      <c r="Q34" s="4"/>
      <c r="R34" s="4" t="s">
        <v>502</v>
      </c>
    </row>
    <row r="35" customFormat="false" ht="15" hidden="false" customHeight="false" outlineLevel="0" collapsed="false">
      <c r="A35" s="4" t="s">
        <v>503</v>
      </c>
      <c r="B35" s="4" t="s">
        <v>504</v>
      </c>
      <c r="C35" s="4" t="s">
        <v>332</v>
      </c>
      <c r="D35" s="4" t="s">
        <v>369</v>
      </c>
      <c r="E35" s="4" t="s">
        <v>505</v>
      </c>
      <c r="F35" s="4" t="s">
        <v>371</v>
      </c>
      <c r="G35" s="4" t="n">
        <v>0</v>
      </c>
      <c r="H35" s="4" t="s">
        <v>369</v>
      </c>
      <c r="I35" s="22" t="n">
        <v>0</v>
      </c>
      <c r="J35" s="4" t="n">
        <v>3</v>
      </c>
      <c r="K35" s="4" t="n">
        <v>1</v>
      </c>
      <c r="L35" s="23" t="str">
        <f aca="false">IF(J35&gt;=5,K35/J35,"too few builds")</f>
        <v>too few builds</v>
      </c>
      <c r="M35" s="22" t="n">
        <v>0</v>
      </c>
      <c r="N35" s="22" t="n">
        <v>0</v>
      </c>
      <c r="O35" s="4"/>
      <c r="P35" s="4"/>
      <c r="Q35" s="4"/>
      <c r="R35" s="4" t="s">
        <v>506</v>
      </c>
    </row>
    <row r="36" customFormat="false" ht="15" hidden="false" customHeight="false" outlineLevel="0" collapsed="false">
      <c r="A36" s="4" t="s">
        <v>507</v>
      </c>
      <c r="B36" s="4" t="s">
        <v>504</v>
      </c>
      <c r="C36" s="4" t="s">
        <v>332</v>
      </c>
      <c r="D36" s="4" t="s">
        <v>369</v>
      </c>
      <c r="E36" s="4" t="s">
        <v>505</v>
      </c>
      <c r="F36" s="4" t="s">
        <v>371</v>
      </c>
      <c r="G36" s="4" t="n">
        <v>0</v>
      </c>
      <c r="H36" s="4" t="s">
        <v>369</v>
      </c>
      <c r="I36" s="22" t="n">
        <v>0</v>
      </c>
      <c r="J36" s="4" t="n">
        <v>3</v>
      </c>
      <c r="K36" s="4" t="n">
        <v>1</v>
      </c>
      <c r="L36" s="23" t="str">
        <f aca="false">IF(J36&gt;=5,K36/J36,"too few builds")</f>
        <v>too few builds</v>
      </c>
      <c r="M36" s="22" t="n">
        <v>0</v>
      </c>
      <c r="N36" s="22" t="n">
        <v>0</v>
      </c>
      <c r="O36" s="4"/>
      <c r="P36" s="4"/>
      <c r="Q36" s="4"/>
      <c r="R36" s="4" t="s">
        <v>508</v>
      </c>
    </row>
    <row r="37" customFormat="false" ht="15" hidden="false" customHeight="false" outlineLevel="0" collapsed="false">
      <c r="A37" s="4" t="s">
        <v>509</v>
      </c>
      <c r="B37" s="4" t="s">
        <v>504</v>
      </c>
      <c r="C37" s="4" t="s">
        <v>332</v>
      </c>
      <c r="D37" s="4" t="s">
        <v>369</v>
      </c>
      <c r="E37" s="4" t="s">
        <v>505</v>
      </c>
      <c r="F37" s="4" t="s">
        <v>371</v>
      </c>
      <c r="G37" s="4" t="n">
        <v>0</v>
      </c>
      <c r="H37" s="4" t="s">
        <v>369</v>
      </c>
      <c r="I37" s="22" t="n">
        <v>0</v>
      </c>
      <c r="J37" s="4" t="n">
        <v>3</v>
      </c>
      <c r="K37" s="4" t="n">
        <v>1</v>
      </c>
      <c r="L37" s="23" t="str">
        <f aca="false">IF(J37&gt;=5,K37/J37,"too few builds")</f>
        <v>too few builds</v>
      </c>
      <c r="M37" s="22" t="n">
        <v>0</v>
      </c>
      <c r="N37" s="22" t="n">
        <v>0</v>
      </c>
      <c r="O37" s="4"/>
      <c r="P37" s="4"/>
      <c r="Q37" s="4"/>
      <c r="R37" s="4" t="s">
        <v>510</v>
      </c>
    </row>
    <row r="38" customFormat="false" ht="15" hidden="false" customHeight="false" outlineLevel="0" collapsed="false">
      <c r="A38" s="4" t="s">
        <v>511</v>
      </c>
      <c r="B38" s="4" t="s">
        <v>504</v>
      </c>
      <c r="C38" s="4" t="s">
        <v>332</v>
      </c>
      <c r="D38" s="4" t="s">
        <v>369</v>
      </c>
      <c r="E38" s="4" t="s">
        <v>505</v>
      </c>
      <c r="F38" s="4" t="s">
        <v>371</v>
      </c>
      <c r="G38" s="4" t="n">
        <v>0</v>
      </c>
      <c r="H38" s="4" t="s">
        <v>369</v>
      </c>
      <c r="I38" s="22" t="n">
        <v>0</v>
      </c>
      <c r="J38" s="4" t="n">
        <v>3</v>
      </c>
      <c r="K38" s="4" t="n">
        <v>1</v>
      </c>
      <c r="L38" s="23" t="str">
        <f aca="false">IF(J38&gt;=5,K38/J38,"too few builds")</f>
        <v>too few builds</v>
      </c>
      <c r="M38" s="22" t="n">
        <v>0</v>
      </c>
      <c r="N38" s="22" t="n">
        <v>0</v>
      </c>
      <c r="O38" s="4"/>
      <c r="P38" s="4"/>
      <c r="Q38" s="4"/>
      <c r="R38" s="4" t="s">
        <v>512</v>
      </c>
    </row>
    <row r="39" customFormat="false" ht="15" hidden="false" customHeight="false" outlineLevel="0" collapsed="false">
      <c r="A39" s="4" t="s">
        <v>513</v>
      </c>
      <c r="B39" s="4" t="s">
        <v>504</v>
      </c>
      <c r="C39" s="4" t="s">
        <v>332</v>
      </c>
      <c r="D39" s="4" t="s">
        <v>369</v>
      </c>
      <c r="E39" s="4" t="s">
        <v>505</v>
      </c>
      <c r="F39" s="4" t="s">
        <v>371</v>
      </c>
      <c r="G39" s="4" t="n">
        <v>0</v>
      </c>
      <c r="H39" s="4" t="s">
        <v>369</v>
      </c>
      <c r="I39" s="22" t="n">
        <v>0</v>
      </c>
      <c r="J39" s="4" t="n">
        <v>3</v>
      </c>
      <c r="K39" s="4" t="n">
        <v>1</v>
      </c>
      <c r="L39" s="23" t="str">
        <f aca="false">IF(J39&gt;=5,K39/J39,"too few builds")</f>
        <v>too few builds</v>
      </c>
      <c r="M39" s="22" t="n">
        <v>0</v>
      </c>
      <c r="N39" s="22" t="n">
        <v>0</v>
      </c>
      <c r="O39" s="4"/>
      <c r="P39" s="4"/>
      <c r="Q39" s="4"/>
      <c r="R39" s="4" t="s">
        <v>514</v>
      </c>
    </row>
    <row r="40" customFormat="false" ht="15" hidden="false" customHeight="false" outlineLevel="0" collapsed="false">
      <c r="A40" s="4" t="s">
        <v>515</v>
      </c>
      <c r="B40" s="4" t="s">
        <v>504</v>
      </c>
      <c r="C40" s="4" t="s">
        <v>332</v>
      </c>
      <c r="D40" s="4" t="s">
        <v>369</v>
      </c>
      <c r="E40" s="4" t="s">
        <v>505</v>
      </c>
      <c r="F40" s="4" t="s">
        <v>371</v>
      </c>
      <c r="G40" s="4" t="n">
        <v>0</v>
      </c>
      <c r="H40" s="4" t="s">
        <v>369</v>
      </c>
      <c r="I40" s="22" t="n">
        <v>0</v>
      </c>
      <c r="J40" s="4" t="n">
        <v>3</v>
      </c>
      <c r="K40" s="4" t="n">
        <v>1</v>
      </c>
      <c r="L40" s="23" t="str">
        <f aca="false">IF(J40&gt;=5,K40/J40,"too few builds")</f>
        <v>too few builds</v>
      </c>
      <c r="M40" s="22" t="n">
        <v>0</v>
      </c>
      <c r="N40" s="22" t="n">
        <v>0</v>
      </c>
      <c r="O40" s="4"/>
      <c r="P40" s="4"/>
      <c r="Q40" s="4"/>
      <c r="R40" s="4" t="s">
        <v>516</v>
      </c>
    </row>
    <row r="41" customFormat="false" ht="15" hidden="false" customHeight="false" outlineLevel="0" collapsed="false">
      <c r="A41" s="4" t="s">
        <v>517</v>
      </c>
      <c r="B41" s="4" t="s">
        <v>518</v>
      </c>
      <c r="C41" s="4" t="s">
        <v>379</v>
      </c>
      <c r="D41" s="4" t="s">
        <v>359</v>
      </c>
      <c r="E41" s="4" t="s">
        <v>519</v>
      </c>
      <c r="F41" s="4" t="s">
        <v>371</v>
      </c>
      <c r="G41" s="4" t="n">
        <v>0</v>
      </c>
      <c r="H41" s="4" t="s">
        <v>359</v>
      </c>
      <c r="I41" s="22" t="n">
        <v>0.23</v>
      </c>
      <c r="J41" s="4" t="n">
        <v>500</v>
      </c>
      <c r="K41" s="4" t="n">
        <v>114</v>
      </c>
      <c r="L41" s="23" t="n">
        <f aca="false">IF(J41&gt;=5,K41/J41,"too few builds")</f>
        <v>0.228</v>
      </c>
      <c r="M41" s="22" t="n">
        <v>0.125</v>
      </c>
      <c r="N41" s="22" t="n">
        <v>0</v>
      </c>
      <c r="O41" s="4"/>
      <c r="P41" s="4"/>
      <c r="Q41" s="4"/>
      <c r="R41" s="4" t="s">
        <v>520</v>
      </c>
    </row>
    <row r="42" customFormat="false" ht="15" hidden="false" customHeight="false" outlineLevel="0" collapsed="false">
      <c r="A42" s="4" t="s">
        <v>521</v>
      </c>
      <c r="B42" s="4" t="s">
        <v>522</v>
      </c>
      <c r="C42" s="4" t="s">
        <v>379</v>
      </c>
      <c r="D42" s="4" t="s">
        <v>359</v>
      </c>
      <c r="E42" s="4" t="s">
        <v>523</v>
      </c>
      <c r="F42" s="4" t="s">
        <v>371</v>
      </c>
      <c r="G42" s="4" t="n">
        <v>0</v>
      </c>
      <c r="H42" s="4" t="s">
        <v>369</v>
      </c>
      <c r="I42" s="22" t="n">
        <v>0.41</v>
      </c>
      <c r="J42" s="4" t="n">
        <v>500</v>
      </c>
      <c r="K42" s="4" t="n">
        <v>196</v>
      </c>
      <c r="L42" s="23" t="n">
        <f aca="false">IF(J42&gt;=5,K42/J42,"too few builds")</f>
        <v>0.392</v>
      </c>
      <c r="M42" s="22" t="n">
        <v>0</v>
      </c>
      <c r="N42" s="22" t="n">
        <v>0</v>
      </c>
      <c r="O42" s="4"/>
      <c r="P42" s="4" t="s">
        <v>524</v>
      </c>
      <c r="Q42" s="4"/>
      <c r="R42" s="4" t="s">
        <v>525</v>
      </c>
    </row>
    <row r="43" customFormat="false" ht="15" hidden="false" customHeight="false" outlineLevel="0" collapsed="false">
      <c r="A43" s="4" t="s">
        <v>526</v>
      </c>
      <c r="B43" s="4" t="s">
        <v>527</v>
      </c>
      <c r="C43" s="4" t="s">
        <v>419</v>
      </c>
      <c r="D43" s="4" t="s">
        <v>359</v>
      </c>
      <c r="E43" s="4" t="s">
        <v>528</v>
      </c>
      <c r="F43" s="4" t="s">
        <v>529</v>
      </c>
      <c r="G43" s="4" t="n">
        <v>30</v>
      </c>
      <c r="H43" s="4" t="s">
        <v>359</v>
      </c>
      <c r="I43" s="22" t="n">
        <v>0.06</v>
      </c>
      <c r="J43" s="4" t="n">
        <v>431</v>
      </c>
      <c r="K43" s="4" t="n">
        <v>26</v>
      </c>
      <c r="L43" s="23" t="n">
        <f aca="false">IF(J43&gt;=5,K43/J43,"too few builds")</f>
        <v>0.0603248259860789</v>
      </c>
      <c r="M43" s="22" t="n">
        <v>0</v>
      </c>
      <c r="N43" s="22" t="n">
        <v>0</v>
      </c>
      <c r="O43" s="4"/>
      <c r="P43" s="4"/>
      <c r="Q43" s="4"/>
      <c r="R43" s="4" t="s">
        <v>530</v>
      </c>
    </row>
    <row r="44" customFormat="false" ht="15" hidden="false" customHeight="false" outlineLevel="0" collapsed="false">
      <c r="A44" s="4" t="s">
        <v>531</v>
      </c>
      <c r="B44" s="4" t="s">
        <v>487</v>
      </c>
      <c r="C44" s="4" t="s">
        <v>332</v>
      </c>
      <c r="D44" s="4" t="s">
        <v>369</v>
      </c>
      <c r="E44" s="4" t="s">
        <v>488</v>
      </c>
      <c r="F44" s="4" t="s">
        <v>371</v>
      </c>
      <c r="G44" s="4" t="n">
        <v>0</v>
      </c>
      <c r="H44" s="4" t="s">
        <v>369</v>
      </c>
      <c r="I44" s="22" t="n">
        <v>0</v>
      </c>
      <c r="J44" s="4" t="n">
        <v>18</v>
      </c>
      <c r="K44" s="4" t="n">
        <v>10</v>
      </c>
      <c r="L44" s="23" t="n">
        <f aca="false">IF(J44&gt;=5,K44/J44,"too few builds")</f>
        <v>0.555555555555556</v>
      </c>
      <c r="M44" s="22" t="n">
        <v>0</v>
      </c>
      <c r="N44" s="22" t="n">
        <v>0</v>
      </c>
      <c r="O44" s="4"/>
      <c r="P44" s="4"/>
      <c r="Q44" s="4"/>
      <c r="R44" s="4" t="s">
        <v>532</v>
      </c>
    </row>
    <row r="45" customFormat="false" ht="15" hidden="false" customHeight="false" outlineLevel="0" collapsed="false">
      <c r="A45" s="4" t="s">
        <v>533</v>
      </c>
      <c r="B45" s="4" t="s">
        <v>534</v>
      </c>
      <c r="C45" s="4" t="s">
        <v>379</v>
      </c>
      <c r="D45" s="4" t="s">
        <v>359</v>
      </c>
      <c r="E45" s="4" t="s">
        <v>535</v>
      </c>
      <c r="F45" s="4" t="s">
        <v>535</v>
      </c>
      <c r="G45" s="4" t="n">
        <v>40</v>
      </c>
      <c r="H45" s="4" t="s">
        <v>359</v>
      </c>
      <c r="I45" s="22" t="n">
        <v>0</v>
      </c>
      <c r="J45" s="4" t="n">
        <v>218</v>
      </c>
      <c r="K45" s="4" t="n">
        <v>10</v>
      </c>
      <c r="L45" s="23" t="n">
        <f aca="false">IF(J45&gt;=5,K45/J45,"too few builds")</f>
        <v>0.0458715596330275</v>
      </c>
      <c r="M45" s="22" t="n">
        <v>0</v>
      </c>
      <c r="N45" s="22" t="n">
        <v>0</v>
      </c>
      <c r="O45" s="4"/>
      <c r="P45" s="4"/>
      <c r="Q45" s="4"/>
      <c r="R45" s="4" t="s">
        <v>536</v>
      </c>
    </row>
    <row r="46" customFormat="false" ht="15" hidden="false" customHeight="false" outlineLevel="0" collapsed="false">
      <c r="A46" s="4" t="s">
        <v>537</v>
      </c>
      <c r="B46" s="4" t="s">
        <v>538</v>
      </c>
      <c r="C46" s="4" t="s">
        <v>379</v>
      </c>
      <c r="D46" s="4" t="s">
        <v>359</v>
      </c>
      <c r="E46" s="4" t="s">
        <v>539</v>
      </c>
      <c r="F46" s="4" t="s">
        <v>540</v>
      </c>
      <c r="G46" s="4" t="n">
        <v>45</v>
      </c>
      <c r="H46" s="4" t="s">
        <v>359</v>
      </c>
      <c r="I46" s="22" t="n">
        <v>0.12</v>
      </c>
      <c r="J46" s="4" t="n">
        <v>71</v>
      </c>
      <c r="K46" s="4" t="n">
        <v>60</v>
      </c>
      <c r="L46" s="23" t="n">
        <f aca="false">IF(J46&gt;=5,K46/J46,"too few builds")</f>
        <v>0.845070422535211</v>
      </c>
      <c r="M46" s="22" t="n">
        <v>0</v>
      </c>
      <c r="N46" s="22" t="n">
        <v>0</v>
      </c>
      <c r="O46" s="4"/>
      <c r="P46" s="4"/>
      <c r="Q46" s="4"/>
      <c r="R46" s="4" t="s">
        <v>541</v>
      </c>
    </row>
    <row r="47" customFormat="false" ht="15" hidden="false" customHeight="false" outlineLevel="0" collapsed="false">
      <c r="A47" s="4" t="s">
        <v>542</v>
      </c>
      <c r="B47" s="4" t="s">
        <v>543</v>
      </c>
      <c r="C47" s="4" t="s">
        <v>379</v>
      </c>
      <c r="D47" s="4" t="s">
        <v>359</v>
      </c>
      <c r="E47" s="4" t="s">
        <v>544</v>
      </c>
      <c r="F47" s="4" t="s">
        <v>545</v>
      </c>
      <c r="G47" s="4" t="n">
        <v>180</v>
      </c>
      <c r="H47" s="4" t="s">
        <v>359</v>
      </c>
      <c r="I47" s="22" t="n">
        <v>0</v>
      </c>
      <c r="J47" s="4" t="n">
        <v>8</v>
      </c>
      <c r="K47" s="4" t="n">
        <v>6</v>
      </c>
      <c r="L47" s="23" t="n">
        <f aca="false">IF(J47&gt;=5,K47/J47,"too few builds")</f>
        <v>0.75</v>
      </c>
      <c r="M47" s="22" t="n">
        <v>0</v>
      </c>
      <c r="N47" s="22" t="n">
        <v>0</v>
      </c>
      <c r="O47" s="4"/>
      <c r="P47" s="4"/>
      <c r="Q47" s="4"/>
      <c r="R47" s="4" t="s">
        <v>546</v>
      </c>
    </row>
    <row r="48" customFormat="false" ht="15" hidden="false" customHeight="false" outlineLevel="0" collapsed="false">
      <c r="A48" s="4" t="s">
        <v>547</v>
      </c>
      <c r="B48" s="4" t="s">
        <v>548</v>
      </c>
      <c r="C48" s="4" t="s">
        <v>358</v>
      </c>
      <c r="D48" s="4" t="s">
        <v>359</v>
      </c>
      <c r="E48" s="4" t="s">
        <v>549</v>
      </c>
      <c r="F48" s="4" t="s">
        <v>549</v>
      </c>
      <c r="G48" s="4" t="n">
        <v>150</v>
      </c>
      <c r="H48" s="4" t="s">
        <v>359</v>
      </c>
      <c r="I48" s="22" t="n">
        <v>0</v>
      </c>
      <c r="J48" s="4" t="n">
        <v>7</v>
      </c>
      <c r="K48" s="4" t="n">
        <v>6</v>
      </c>
      <c r="L48" s="23" t="n">
        <f aca="false">IF(J48&gt;=5,K48/J48,"too few builds")</f>
        <v>0.857142857142857</v>
      </c>
      <c r="M48" s="22" t="n">
        <v>0</v>
      </c>
      <c r="N48" s="22" t="n">
        <v>0</v>
      </c>
      <c r="O48" s="4"/>
      <c r="P48" s="4"/>
      <c r="Q48" s="4"/>
      <c r="R48" s="4" t="s">
        <v>550</v>
      </c>
    </row>
    <row r="49" customFormat="false" ht="15" hidden="false" customHeight="false" outlineLevel="0" collapsed="false">
      <c r="A49" s="4" t="s">
        <v>551</v>
      </c>
      <c r="B49" s="4" t="s">
        <v>552</v>
      </c>
      <c r="C49" s="4" t="s">
        <v>379</v>
      </c>
      <c r="D49" s="4" t="s">
        <v>359</v>
      </c>
      <c r="E49" s="4" t="s">
        <v>553</v>
      </c>
      <c r="F49" s="4" t="s">
        <v>554</v>
      </c>
      <c r="G49" s="4" t="n">
        <v>60</v>
      </c>
      <c r="H49" s="4" t="s">
        <v>359</v>
      </c>
      <c r="I49" s="22" t="n">
        <v>0.07</v>
      </c>
      <c r="J49" s="4" t="n">
        <v>46</v>
      </c>
      <c r="K49" s="4" t="n">
        <v>32</v>
      </c>
      <c r="L49" s="23" t="n">
        <f aca="false">IF(J49&gt;=5,K49/J49,"too few builds")</f>
        <v>0.695652173913044</v>
      </c>
      <c r="M49" s="22" t="n">
        <v>0</v>
      </c>
      <c r="N49" s="22" t="n">
        <v>0</v>
      </c>
      <c r="O49" s="4"/>
      <c r="P49" s="4"/>
      <c r="Q49" s="4"/>
      <c r="R49" s="4" t="s">
        <v>555</v>
      </c>
    </row>
    <row r="50" customFormat="false" ht="15" hidden="false" customHeight="false" outlineLevel="0" collapsed="false">
      <c r="A50" s="4" t="s">
        <v>556</v>
      </c>
      <c r="B50" s="4" t="s">
        <v>388</v>
      </c>
      <c r="C50" s="4" t="s">
        <v>379</v>
      </c>
      <c r="D50" s="4" t="s">
        <v>359</v>
      </c>
      <c r="E50" s="4" t="s">
        <v>557</v>
      </c>
      <c r="F50" s="4" t="s">
        <v>557</v>
      </c>
      <c r="G50" s="4" t="n">
        <v>110</v>
      </c>
      <c r="H50" s="4" t="s">
        <v>359</v>
      </c>
      <c r="I50" s="22" t="n">
        <v>0.09</v>
      </c>
      <c r="J50" s="4" t="n">
        <v>53</v>
      </c>
      <c r="K50" s="4" t="n">
        <v>43</v>
      </c>
      <c r="L50" s="23" t="n">
        <f aca="false">IF(J50&gt;=5,K50/J50,"too few builds")</f>
        <v>0.811320754716981</v>
      </c>
      <c r="M50" s="22" t="n">
        <v>0</v>
      </c>
      <c r="N50" s="22" t="n">
        <v>0</v>
      </c>
      <c r="O50" s="4"/>
      <c r="P50" s="4"/>
      <c r="Q50" s="4" t="s">
        <v>558</v>
      </c>
      <c r="R50" s="4" t="s">
        <v>559</v>
      </c>
    </row>
    <row r="51" customFormat="false" ht="15" hidden="false" customHeight="false" outlineLevel="0" collapsed="false">
      <c r="A51" s="4" t="s">
        <v>560</v>
      </c>
      <c r="B51" s="4" t="s">
        <v>561</v>
      </c>
      <c r="C51" s="4" t="s">
        <v>332</v>
      </c>
      <c r="D51" s="4" t="s">
        <v>369</v>
      </c>
      <c r="E51" s="4" t="s">
        <v>562</v>
      </c>
      <c r="F51" s="4" t="s">
        <v>371</v>
      </c>
      <c r="G51" s="4" t="n">
        <v>0</v>
      </c>
      <c r="H51" s="4" t="s">
        <v>369</v>
      </c>
      <c r="I51" s="22" t="n">
        <v>0</v>
      </c>
      <c r="J51" s="4" t="n">
        <v>17</v>
      </c>
      <c r="K51" s="4" t="n">
        <v>3</v>
      </c>
      <c r="L51" s="23" t="n">
        <f aca="false">IF(J51&gt;=5,K51/J51,"too few builds")</f>
        <v>0.176470588235294</v>
      </c>
      <c r="M51" s="22" t="n">
        <v>0</v>
      </c>
      <c r="N51" s="22" t="n">
        <v>0</v>
      </c>
      <c r="O51" s="4"/>
      <c r="P51" s="4"/>
      <c r="Q51" s="4"/>
      <c r="R51" s="4" t="s">
        <v>563</v>
      </c>
    </row>
    <row r="52" customFormat="false" ht="15" hidden="false" customHeight="false" outlineLevel="0" collapsed="false">
      <c r="A52" s="4" t="s">
        <v>564</v>
      </c>
      <c r="B52" s="4" t="s">
        <v>565</v>
      </c>
      <c r="C52" s="4" t="s">
        <v>379</v>
      </c>
      <c r="D52" s="4" t="s">
        <v>359</v>
      </c>
      <c r="E52" s="4" t="s">
        <v>566</v>
      </c>
      <c r="F52" s="4" t="s">
        <v>567</v>
      </c>
      <c r="G52" s="4" t="n">
        <v>85</v>
      </c>
      <c r="H52" s="4" t="s">
        <v>359</v>
      </c>
      <c r="I52" s="22" t="n">
        <v>0</v>
      </c>
      <c r="J52" s="4" t="n">
        <v>4</v>
      </c>
      <c r="K52" s="4" t="n">
        <v>2</v>
      </c>
      <c r="L52" s="23" t="str">
        <f aca="false">IF(J52&gt;=5,K52/J52,"too few builds")</f>
        <v>too few builds</v>
      </c>
      <c r="M52" s="22" t="n">
        <v>0</v>
      </c>
      <c r="N52" s="22" t="n">
        <v>0</v>
      </c>
      <c r="O52" s="4"/>
      <c r="P52" s="4" t="s">
        <v>568</v>
      </c>
      <c r="Q52" s="4"/>
      <c r="R52" s="4" t="s">
        <v>569</v>
      </c>
    </row>
    <row r="53" customFormat="false" ht="15" hidden="false" customHeight="false" outlineLevel="0" collapsed="false">
      <c r="A53" s="4" t="s">
        <v>570</v>
      </c>
      <c r="B53" s="4" t="s">
        <v>571</v>
      </c>
      <c r="C53" s="4" t="s">
        <v>379</v>
      </c>
      <c r="D53" s="4" t="s">
        <v>359</v>
      </c>
      <c r="E53" s="4" t="s">
        <v>572</v>
      </c>
      <c r="F53" s="4" t="s">
        <v>572</v>
      </c>
      <c r="G53" s="4" t="n">
        <v>30</v>
      </c>
      <c r="H53" s="4" t="s">
        <v>359</v>
      </c>
      <c r="I53" s="22" t="n">
        <v>0.65</v>
      </c>
      <c r="J53" s="4" t="n">
        <v>374</v>
      </c>
      <c r="K53" s="4" t="n">
        <v>321</v>
      </c>
      <c r="L53" s="23" t="n">
        <f aca="false">IF(J53&gt;=5,K53/J53,"too few builds")</f>
        <v>0.858288770053476</v>
      </c>
      <c r="M53" s="22" t="n">
        <v>0</v>
      </c>
      <c r="N53" s="22" t="n">
        <v>0</v>
      </c>
      <c r="O53" s="4"/>
      <c r="P53" s="4"/>
      <c r="Q53" s="4"/>
      <c r="R53" s="4" t="s">
        <v>573</v>
      </c>
    </row>
    <row r="54" customFormat="false" ht="15" hidden="false" customHeight="false" outlineLevel="0" collapsed="false">
      <c r="A54" s="4" t="s">
        <v>574</v>
      </c>
      <c r="B54" s="4" t="s">
        <v>378</v>
      </c>
      <c r="C54" s="4" t="s">
        <v>379</v>
      </c>
      <c r="D54" s="4" t="s">
        <v>359</v>
      </c>
      <c r="E54" s="4" t="s">
        <v>575</v>
      </c>
      <c r="F54" s="4" t="s">
        <v>575</v>
      </c>
      <c r="G54" s="4" t="n">
        <v>40</v>
      </c>
      <c r="H54" s="4" t="s">
        <v>359</v>
      </c>
      <c r="I54" s="22" t="n">
        <v>0.49</v>
      </c>
      <c r="J54" s="4" t="n">
        <v>324</v>
      </c>
      <c r="K54" s="4" t="n">
        <v>241</v>
      </c>
      <c r="L54" s="23" t="n">
        <f aca="false">IF(J54&gt;=5,K54/J54,"too few builds")</f>
        <v>0.743827160493827</v>
      </c>
      <c r="M54" s="22" t="n">
        <v>0</v>
      </c>
      <c r="N54" s="22" t="n">
        <v>0</v>
      </c>
      <c r="O54" s="4"/>
      <c r="P54" s="4" t="s">
        <v>576</v>
      </c>
      <c r="Q54" s="4"/>
      <c r="R54" s="4" t="s">
        <v>577</v>
      </c>
    </row>
    <row r="55" customFormat="false" ht="15" hidden="false" customHeight="false" outlineLevel="0" collapsed="false">
      <c r="A55" s="4" t="s">
        <v>578</v>
      </c>
      <c r="B55" s="4" t="s">
        <v>579</v>
      </c>
      <c r="C55" s="4" t="s">
        <v>379</v>
      </c>
      <c r="D55" s="4" t="s">
        <v>359</v>
      </c>
      <c r="E55" s="4" t="s">
        <v>580</v>
      </c>
      <c r="F55" s="4" t="s">
        <v>581</v>
      </c>
      <c r="G55" s="4" t="n">
        <v>110</v>
      </c>
      <c r="H55" s="4" t="s">
        <v>359</v>
      </c>
      <c r="I55" s="22" t="n">
        <v>0</v>
      </c>
      <c r="J55" s="4" t="n">
        <v>23</v>
      </c>
      <c r="K55" s="4" t="n">
        <v>4</v>
      </c>
      <c r="L55" s="23" t="n">
        <f aca="false">IF(J55&gt;=5,K55/J55,"too few builds")</f>
        <v>0.173913043478261</v>
      </c>
      <c r="M55" s="22" t="n">
        <v>0</v>
      </c>
      <c r="N55" s="22" t="n">
        <v>0</v>
      </c>
      <c r="O55" s="4"/>
      <c r="P55" s="4"/>
      <c r="Q55" s="4"/>
      <c r="R55" s="4" t="s">
        <v>582</v>
      </c>
    </row>
    <row r="56" customFormat="false" ht="15" hidden="false" customHeight="false" outlineLevel="0" collapsed="false">
      <c r="A56" s="4" t="s">
        <v>583</v>
      </c>
      <c r="B56" s="4" t="s">
        <v>584</v>
      </c>
      <c r="C56" s="4" t="s">
        <v>584</v>
      </c>
      <c r="D56" s="4" t="s">
        <v>369</v>
      </c>
      <c r="E56" s="4" t="s">
        <v>585</v>
      </c>
      <c r="F56" s="4" t="s">
        <v>371</v>
      </c>
      <c r="G56" s="4" t="n">
        <v>0</v>
      </c>
      <c r="H56" s="4" t="s">
        <v>369</v>
      </c>
      <c r="I56" s="22" t="n">
        <v>0</v>
      </c>
      <c r="J56" s="4" t="n">
        <v>500</v>
      </c>
      <c r="K56" s="4" t="n">
        <v>23</v>
      </c>
      <c r="L56" s="23" t="n">
        <f aca="false">IF(J56&gt;=5,K56/J56,"too few builds")</f>
        <v>0.046</v>
      </c>
      <c r="M56" s="22" t="n">
        <v>0</v>
      </c>
      <c r="N56" s="22" t="n">
        <v>0</v>
      </c>
      <c r="O56" s="4"/>
      <c r="P56" s="4"/>
      <c r="Q56" s="4"/>
      <c r="R56" s="4"/>
    </row>
    <row r="57" customFormat="false" ht="15" hidden="false" customHeight="false" outlineLevel="0" collapsed="false">
      <c r="A57" s="4" t="s">
        <v>586</v>
      </c>
      <c r="B57" s="4" t="s">
        <v>587</v>
      </c>
      <c r="C57" s="4" t="s">
        <v>379</v>
      </c>
      <c r="D57" s="4" t="s">
        <v>359</v>
      </c>
      <c r="E57" s="4" t="s">
        <v>588</v>
      </c>
      <c r="F57" s="4" t="s">
        <v>588</v>
      </c>
      <c r="G57" s="4" t="n">
        <v>80</v>
      </c>
      <c r="H57" s="4" t="s">
        <v>359</v>
      </c>
      <c r="I57" s="22" t="n">
        <v>0.11</v>
      </c>
      <c r="J57" s="4" t="n">
        <v>86</v>
      </c>
      <c r="K57" s="4" t="n">
        <v>53</v>
      </c>
      <c r="L57" s="23" t="n">
        <f aca="false">IF(J57&gt;=5,K57/J57,"too few builds")</f>
        <v>0.616279069767442</v>
      </c>
      <c r="M57" s="22" t="n">
        <v>0</v>
      </c>
      <c r="N57" s="22" t="n">
        <v>0</v>
      </c>
      <c r="O57" s="4"/>
      <c r="P57" s="4" t="s">
        <v>589</v>
      </c>
      <c r="Q57" s="4"/>
      <c r="R57" s="4" t="s">
        <v>590</v>
      </c>
    </row>
    <row r="58" customFormat="false" ht="15" hidden="false" customHeight="false" outlineLevel="0" collapsed="false">
      <c r="A58" s="4" t="s">
        <v>591</v>
      </c>
      <c r="B58" s="4" t="s">
        <v>487</v>
      </c>
      <c r="C58" s="4" t="s">
        <v>332</v>
      </c>
      <c r="D58" s="4" t="s">
        <v>369</v>
      </c>
      <c r="E58" s="4" t="s">
        <v>488</v>
      </c>
      <c r="F58" s="4" t="s">
        <v>371</v>
      </c>
      <c r="G58" s="4" t="n">
        <v>0</v>
      </c>
      <c r="H58" s="4" t="s">
        <v>369</v>
      </c>
      <c r="I58" s="22" t="n">
        <v>0</v>
      </c>
      <c r="J58" s="4" t="n">
        <v>18</v>
      </c>
      <c r="K58" s="4" t="n">
        <v>10</v>
      </c>
      <c r="L58" s="23" t="n">
        <f aca="false">IF(J58&gt;=5,K58/J58,"too few builds")</f>
        <v>0.555555555555556</v>
      </c>
      <c r="M58" s="22" t="n">
        <v>0</v>
      </c>
      <c r="N58" s="22" t="n">
        <v>0</v>
      </c>
      <c r="O58" s="4"/>
      <c r="P58" s="4"/>
      <c r="Q58" s="4"/>
      <c r="R58" s="4" t="s">
        <v>592</v>
      </c>
    </row>
    <row r="59" customFormat="false" ht="15" hidden="false" customHeight="false" outlineLevel="0" collapsed="false">
      <c r="A59" s="4" t="s">
        <v>593</v>
      </c>
      <c r="B59" s="4" t="s">
        <v>594</v>
      </c>
      <c r="C59" s="4" t="s">
        <v>379</v>
      </c>
      <c r="D59" s="4" t="s">
        <v>359</v>
      </c>
      <c r="E59" s="4" t="s">
        <v>595</v>
      </c>
      <c r="F59" s="4" t="s">
        <v>596</v>
      </c>
      <c r="G59" s="4" t="n">
        <v>60</v>
      </c>
      <c r="H59" s="4" t="s">
        <v>359</v>
      </c>
      <c r="I59" s="22" t="n">
        <v>0.04</v>
      </c>
      <c r="J59" s="4" t="n">
        <v>55</v>
      </c>
      <c r="K59" s="4" t="n">
        <v>21</v>
      </c>
      <c r="L59" s="23" t="n">
        <f aca="false">IF(J59&gt;=5,K59/J59,"too few builds")</f>
        <v>0.381818181818182</v>
      </c>
      <c r="M59" s="22" t="n">
        <v>0</v>
      </c>
      <c r="N59" s="22" t="n">
        <v>0</v>
      </c>
      <c r="O59" s="4"/>
      <c r="P59" s="4"/>
      <c r="Q59" s="4"/>
      <c r="R59" s="4" t="s">
        <v>597</v>
      </c>
    </row>
    <row r="60" customFormat="false" ht="15" hidden="false" customHeight="false" outlineLevel="0" collapsed="false">
      <c r="A60" s="4" t="s">
        <v>598</v>
      </c>
      <c r="B60" s="4" t="s">
        <v>378</v>
      </c>
      <c r="C60" s="4" t="s">
        <v>379</v>
      </c>
      <c r="D60" s="4" t="s">
        <v>359</v>
      </c>
      <c r="E60" s="4" t="s">
        <v>599</v>
      </c>
      <c r="F60" s="4" t="s">
        <v>599</v>
      </c>
      <c r="G60" s="4" t="n">
        <v>25</v>
      </c>
      <c r="H60" s="4" t="s">
        <v>359</v>
      </c>
      <c r="I60" s="22" t="n">
        <v>0.55</v>
      </c>
      <c r="J60" s="4" t="n">
        <v>409</v>
      </c>
      <c r="K60" s="4" t="n">
        <v>253</v>
      </c>
      <c r="L60" s="23" t="n">
        <f aca="false">IF(J60&gt;=5,K60/J60,"too few builds")</f>
        <v>0.618581907090465</v>
      </c>
      <c r="M60" s="22" t="n">
        <v>0</v>
      </c>
      <c r="N60" s="22" t="n">
        <v>0</v>
      </c>
      <c r="O60" s="4"/>
      <c r="P60" s="4"/>
      <c r="Q60" s="4"/>
      <c r="R60" s="4" t="s">
        <v>600</v>
      </c>
    </row>
    <row r="61" customFormat="false" ht="15" hidden="false" customHeight="false" outlineLevel="0" collapsed="false">
      <c r="A61" s="4" t="s">
        <v>601</v>
      </c>
      <c r="B61" s="4" t="s">
        <v>602</v>
      </c>
      <c r="C61" s="4" t="s">
        <v>379</v>
      </c>
      <c r="D61" s="4" t="s">
        <v>359</v>
      </c>
      <c r="E61" s="4" t="s">
        <v>603</v>
      </c>
      <c r="F61" s="4" t="s">
        <v>603</v>
      </c>
      <c r="G61" s="4" t="n">
        <v>30</v>
      </c>
      <c r="H61" s="4" t="s">
        <v>359</v>
      </c>
      <c r="I61" s="22" t="n">
        <v>0.03</v>
      </c>
      <c r="J61" s="4" t="n">
        <v>177</v>
      </c>
      <c r="K61" s="4" t="n">
        <v>23</v>
      </c>
      <c r="L61" s="23" t="n">
        <f aca="false">IF(J61&gt;=5,K61/J61,"too few builds")</f>
        <v>0.129943502824859</v>
      </c>
      <c r="M61" s="22" t="n">
        <v>0</v>
      </c>
      <c r="N61" s="22" t="n">
        <v>0</v>
      </c>
      <c r="O61" s="4"/>
      <c r="P61" s="4"/>
      <c r="Q61" s="4"/>
      <c r="R61" s="4" t="s">
        <v>604</v>
      </c>
    </row>
    <row r="62" customFormat="false" ht="15" hidden="false" customHeight="false" outlineLevel="0" collapsed="false">
      <c r="A62" s="4" t="s">
        <v>605</v>
      </c>
      <c r="B62" s="4" t="s">
        <v>477</v>
      </c>
      <c r="C62" s="4" t="s">
        <v>332</v>
      </c>
      <c r="D62" s="4" t="s">
        <v>369</v>
      </c>
      <c r="E62" s="4" t="s">
        <v>478</v>
      </c>
      <c r="F62" s="4" t="s">
        <v>371</v>
      </c>
      <c r="G62" s="4" t="n">
        <v>0</v>
      </c>
      <c r="H62" s="4" t="s">
        <v>369</v>
      </c>
      <c r="I62" s="22" t="n">
        <v>0</v>
      </c>
      <c r="J62" s="4" t="n">
        <v>11</v>
      </c>
      <c r="K62" s="4" t="n">
        <v>5</v>
      </c>
      <c r="L62" s="23" t="n">
        <f aca="false">IF(J62&gt;=5,K62/J62,"too few builds")</f>
        <v>0.454545454545455</v>
      </c>
      <c r="M62" s="22" t="n">
        <v>0</v>
      </c>
      <c r="N62" s="22" t="n">
        <v>0</v>
      </c>
      <c r="O62" s="4"/>
      <c r="P62" s="4"/>
      <c r="Q62" s="4"/>
      <c r="R62" s="4" t="s">
        <v>606</v>
      </c>
    </row>
    <row r="63" customFormat="false" ht="15" hidden="false" customHeight="false" outlineLevel="0" collapsed="false">
      <c r="A63" s="4" t="s">
        <v>607</v>
      </c>
      <c r="B63" s="4" t="s">
        <v>608</v>
      </c>
      <c r="C63" s="4" t="s">
        <v>379</v>
      </c>
      <c r="D63" s="4" t="s">
        <v>359</v>
      </c>
      <c r="E63" s="4" t="s">
        <v>609</v>
      </c>
      <c r="F63" s="4" t="s">
        <v>610</v>
      </c>
      <c r="G63" s="4" t="n">
        <v>30</v>
      </c>
      <c r="H63" s="4" t="s">
        <v>359</v>
      </c>
      <c r="I63" s="22" t="n">
        <v>0</v>
      </c>
      <c r="J63" s="4" t="n">
        <v>90</v>
      </c>
      <c r="K63" s="4" t="n">
        <v>7</v>
      </c>
      <c r="L63" s="23" t="n">
        <f aca="false">IF(J63&gt;=5,K63/J63,"too few builds")</f>
        <v>0.0777777777777778</v>
      </c>
      <c r="M63" s="22" t="n">
        <v>0</v>
      </c>
      <c r="N63" s="22" t="n">
        <v>0</v>
      </c>
      <c r="O63" s="4"/>
      <c r="P63" s="4"/>
      <c r="Q63" s="4"/>
      <c r="R63" s="4" t="s">
        <v>611</v>
      </c>
    </row>
    <row r="64" customFormat="false" ht="15" hidden="false" customHeight="false" outlineLevel="0" collapsed="false">
      <c r="A64" s="4" t="s">
        <v>612</v>
      </c>
      <c r="B64" s="4" t="s">
        <v>477</v>
      </c>
      <c r="C64" s="4" t="s">
        <v>332</v>
      </c>
      <c r="D64" s="4" t="s">
        <v>369</v>
      </c>
      <c r="E64" s="4" t="s">
        <v>478</v>
      </c>
      <c r="F64" s="4" t="s">
        <v>371</v>
      </c>
      <c r="G64" s="4" t="n">
        <v>0</v>
      </c>
      <c r="H64" s="4" t="s">
        <v>369</v>
      </c>
      <c r="I64" s="22" t="n">
        <v>0</v>
      </c>
      <c r="J64" s="4" t="n">
        <v>11</v>
      </c>
      <c r="K64" s="4" t="n">
        <v>4</v>
      </c>
      <c r="L64" s="23" t="n">
        <f aca="false">IF(J64&gt;=5,K64/J64,"too few builds")</f>
        <v>0.363636363636364</v>
      </c>
      <c r="M64" s="22" t="n">
        <v>0</v>
      </c>
      <c r="N64" s="22" t="n">
        <v>0</v>
      </c>
      <c r="O64" s="4"/>
      <c r="P64" s="4"/>
      <c r="Q64" s="4"/>
      <c r="R64" s="4" t="s">
        <v>613</v>
      </c>
    </row>
    <row r="65" customFormat="false" ht="15" hidden="false" customHeight="false" outlineLevel="0" collapsed="false">
      <c r="A65" s="4" t="s">
        <v>614</v>
      </c>
      <c r="B65" s="4" t="s">
        <v>477</v>
      </c>
      <c r="C65" s="4" t="s">
        <v>332</v>
      </c>
      <c r="D65" s="4" t="s">
        <v>369</v>
      </c>
      <c r="E65" s="4" t="s">
        <v>478</v>
      </c>
      <c r="F65" s="4" t="s">
        <v>371</v>
      </c>
      <c r="G65" s="4" t="n">
        <v>0</v>
      </c>
      <c r="H65" s="4" t="s">
        <v>369</v>
      </c>
      <c r="I65" s="22" t="n">
        <v>0</v>
      </c>
      <c r="J65" s="4" t="n">
        <v>11</v>
      </c>
      <c r="K65" s="4" t="n">
        <v>4</v>
      </c>
      <c r="L65" s="23" t="n">
        <f aca="false">IF(J65&gt;=5,K65/J65,"too few builds")</f>
        <v>0.363636363636364</v>
      </c>
      <c r="M65" s="22" t="n">
        <v>0</v>
      </c>
      <c r="N65" s="22" t="n">
        <v>0</v>
      </c>
      <c r="O65" s="4"/>
      <c r="P65" s="4"/>
      <c r="Q65" s="4"/>
      <c r="R65" s="4" t="s">
        <v>615</v>
      </c>
    </row>
    <row r="66" customFormat="false" ht="15" hidden="false" customHeight="false" outlineLevel="0" collapsed="false">
      <c r="A66" s="4" t="s">
        <v>616</v>
      </c>
      <c r="B66" s="4" t="s">
        <v>617</v>
      </c>
      <c r="C66" s="4" t="s">
        <v>379</v>
      </c>
      <c r="D66" s="4" t="s">
        <v>359</v>
      </c>
      <c r="E66" s="4" t="s">
        <v>385</v>
      </c>
      <c r="F66" s="4" t="s">
        <v>385</v>
      </c>
      <c r="G66" s="4" t="n">
        <v>20</v>
      </c>
      <c r="H66" s="4" t="s">
        <v>359</v>
      </c>
      <c r="I66" s="22" t="n">
        <v>0.07</v>
      </c>
      <c r="J66" s="4" t="n">
        <v>88</v>
      </c>
      <c r="K66" s="4" t="n">
        <v>31</v>
      </c>
      <c r="L66" s="23" t="n">
        <f aca="false">IF(J66&gt;=5,K66/J66,"too few builds")</f>
        <v>0.352272727272727</v>
      </c>
      <c r="M66" s="22" t="n">
        <v>0</v>
      </c>
      <c r="N66" s="22" t="n">
        <v>0</v>
      </c>
      <c r="O66" s="4"/>
      <c r="P66" s="4"/>
      <c r="Q66" s="4"/>
      <c r="R66" s="4" t="s">
        <v>618</v>
      </c>
    </row>
    <row r="67" customFormat="false" ht="15" hidden="false" customHeight="false" outlineLevel="0" collapsed="false">
      <c r="A67" s="4" t="s">
        <v>619</v>
      </c>
      <c r="B67" s="4" t="s">
        <v>620</v>
      </c>
      <c r="C67" s="4" t="s">
        <v>379</v>
      </c>
      <c r="D67" s="4" t="s">
        <v>359</v>
      </c>
      <c r="E67" s="4" t="s">
        <v>621</v>
      </c>
      <c r="F67" s="4" t="s">
        <v>622</v>
      </c>
      <c r="G67" s="4" t="n">
        <v>140</v>
      </c>
      <c r="H67" s="4" t="s">
        <v>359</v>
      </c>
      <c r="I67" s="22" t="n">
        <v>0.06</v>
      </c>
      <c r="J67" s="4" t="n">
        <v>38</v>
      </c>
      <c r="K67" s="4" t="n">
        <v>31</v>
      </c>
      <c r="L67" s="23" t="n">
        <f aca="false">IF(J67&gt;=5,K67/J67,"too few builds")</f>
        <v>0.815789473684211</v>
      </c>
      <c r="M67" s="22" t="n">
        <v>0</v>
      </c>
      <c r="N67" s="22" t="n">
        <v>0</v>
      </c>
      <c r="O67" s="4"/>
      <c r="P67" s="4" t="s">
        <v>623</v>
      </c>
      <c r="Q67" s="4"/>
      <c r="R67" s="4" t="s">
        <v>624</v>
      </c>
    </row>
    <row r="68" customFormat="false" ht="15" hidden="false" customHeight="false" outlineLevel="0" collapsed="false">
      <c r="A68" s="4" t="s">
        <v>625</v>
      </c>
      <c r="B68" s="4" t="s">
        <v>626</v>
      </c>
      <c r="C68" s="4" t="s">
        <v>379</v>
      </c>
      <c r="D68" s="4" t="s">
        <v>359</v>
      </c>
      <c r="E68" s="4" t="s">
        <v>627</v>
      </c>
      <c r="F68" s="4" t="s">
        <v>627</v>
      </c>
      <c r="G68" s="4" t="n">
        <v>45</v>
      </c>
      <c r="H68" s="4" t="s">
        <v>359</v>
      </c>
      <c r="I68" s="22" t="n">
        <v>0.06</v>
      </c>
      <c r="J68" s="4" t="n">
        <v>143</v>
      </c>
      <c r="K68" s="4" t="n">
        <v>30</v>
      </c>
      <c r="L68" s="23" t="n">
        <f aca="false">IF(J68&gt;=5,K68/J68,"too few builds")</f>
        <v>0.20979020979021</v>
      </c>
      <c r="M68" s="22" t="n">
        <v>0</v>
      </c>
      <c r="N68" s="22" t="n">
        <v>0</v>
      </c>
      <c r="O68" s="4"/>
      <c r="P68" s="4" t="s">
        <v>628</v>
      </c>
      <c r="Q68" s="4"/>
      <c r="R68" s="4" t="s">
        <v>629</v>
      </c>
    </row>
    <row r="69" customFormat="false" ht="15" hidden="false" customHeight="false" outlineLevel="0" collapsed="false">
      <c r="A69" s="4" t="s">
        <v>630</v>
      </c>
      <c r="B69" s="4" t="s">
        <v>617</v>
      </c>
      <c r="C69" s="4" t="s">
        <v>419</v>
      </c>
      <c r="D69" s="4" t="s">
        <v>359</v>
      </c>
      <c r="E69" s="4" t="s">
        <v>631</v>
      </c>
      <c r="F69" s="4" t="s">
        <v>631</v>
      </c>
      <c r="G69" s="4" t="n">
        <v>60</v>
      </c>
      <c r="H69" s="4" t="s">
        <v>359</v>
      </c>
      <c r="I69" s="22" t="n">
        <v>0.11</v>
      </c>
      <c r="J69" s="4" t="n">
        <v>76</v>
      </c>
      <c r="K69" s="4" t="n">
        <v>56</v>
      </c>
      <c r="L69" s="23" t="n">
        <f aca="false">IF(J69&gt;=5,K69/J69,"too few builds")</f>
        <v>0.736842105263158</v>
      </c>
      <c r="M69" s="22" t="n">
        <v>0</v>
      </c>
      <c r="N69" s="22" t="n">
        <v>0</v>
      </c>
      <c r="O69" s="4"/>
      <c r="P69" s="4"/>
      <c r="Q69" s="4"/>
      <c r="R69" s="4" t="s">
        <v>632</v>
      </c>
    </row>
    <row r="70" customFormat="false" ht="15" hidden="false" customHeight="false" outlineLevel="0" collapsed="false">
      <c r="A70" s="4" t="s">
        <v>633</v>
      </c>
      <c r="B70" s="4" t="s">
        <v>634</v>
      </c>
      <c r="C70" s="4" t="s">
        <v>379</v>
      </c>
      <c r="D70" s="4" t="s">
        <v>359</v>
      </c>
      <c r="E70" s="4" t="s">
        <v>635</v>
      </c>
      <c r="F70" s="4" t="s">
        <v>635</v>
      </c>
      <c r="G70" s="4" t="n">
        <v>80</v>
      </c>
      <c r="H70" s="4" t="s">
        <v>359</v>
      </c>
      <c r="I70" s="22" t="n">
        <v>0</v>
      </c>
      <c r="J70" s="4" t="n">
        <v>10</v>
      </c>
      <c r="K70" s="4" t="n">
        <v>5</v>
      </c>
      <c r="L70" s="23" t="n">
        <f aca="false">IF(J70&gt;=5,K70/J70,"too few builds")</f>
        <v>0.5</v>
      </c>
      <c r="M70" s="22" t="n">
        <v>0</v>
      </c>
      <c r="N70" s="22" t="n">
        <v>0</v>
      </c>
      <c r="O70" s="4"/>
      <c r="P70" s="4"/>
      <c r="Q70" s="4"/>
      <c r="R70" s="4" t="s">
        <v>636</v>
      </c>
    </row>
    <row r="71" customFormat="false" ht="15" hidden="false" customHeight="false" outlineLevel="0" collapsed="false">
      <c r="A71" s="4" t="s">
        <v>637</v>
      </c>
      <c r="B71" s="4" t="s">
        <v>638</v>
      </c>
      <c r="C71" s="4" t="s">
        <v>419</v>
      </c>
      <c r="D71" s="4" t="s">
        <v>359</v>
      </c>
      <c r="E71" s="4" t="s">
        <v>585</v>
      </c>
      <c r="F71" s="4" t="s">
        <v>371</v>
      </c>
      <c r="G71" s="4" t="n">
        <v>0</v>
      </c>
      <c r="H71" s="4" t="s">
        <v>369</v>
      </c>
      <c r="I71" s="22" t="n">
        <v>0.9</v>
      </c>
      <c r="J71" s="4" t="n">
        <v>500</v>
      </c>
      <c r="K71" s="4" t="n">
        <v>433</v>
      </c>
      <c r="L71" s="23" t="n">
        <f aca="false">IF(J71&gt;=5,K71/J71,"too few builds")</f>
        <v>0.866</v>
      </c>
      <c r="M71" s="22" t="n">
        <v>0</v>
      </c>
      <c r="N71" s="22" t="n">
        <v>0</v>
      </c>
      <c r="O71" s="4"/>
      <c r="P71" s="4"/>
      <c r="Q71" s="4"/>
      <c r="R71" s="4" t="s">
        <v>639</v>
      </c>
    </row>
    <row r="72" customFormat="false" ht="15" hidden="false" customHeight="false" outlineLevel="0" collapsed="false">
      <c r="A72" s="4" t="s">
        <v>640</v>
      </c>
      <c r="B72" s="4" t="s">
        <v>432</v>
      </c>
      <c r="C72" s="4" t="s">
        <v>379</v>
      </c>
      <c r="D72" s="4" t="s">
        <v>369</v>
      </c>
      <c r="E72" s="4" t="s">
        <v>641</v>
      </c>
      <c r="F72" s="4" t="s">
        <v>642</v>
      </c>
      <c r="G72" s="4" t="n">
        <v>75</v>
      </c>
      <c r="H72" s="4" t="s">
        <v>359</v>
      </c>
      <c r="I72" s="22" t="n">
        <v>0.08</v>
      </c>
      <c r="J72" s="4" t="n">
        <v>73</v>
      </c>
      <c r="K72" s="4" t="n">
        <v>41</v>
      </c>
      <c r="L72" s="23" t="n">
        <f aca="false">IF(J72&gt;=5,K72/J72,"too few builds")</f>
        <v>0.561643835616438</v>
      </c>
      <c r="M72" s="22" t="n">
        <v>0</v>
      </c>
      <c r="N72" s="22" t="n">
        <v>0</v>
      </c>
      <c r="O72" s="4"/>
      <c r="P72" s="4"/>
      <c r="Q72" s="4"/>
      <c r="R72" s="4" t="s">
        <v>643</v>
      </c>
    </row>
    <row r="73" customFormat="false" ht="15" hidden="false" customHeight="false" outlineLevel="0" collapsed="false">
      <c r="A73" s="4" t="s">
        <v>383</v>
      </c>
      <c r="B73" s="4" t="s">
        <v>383</v>
      </c>
      <c r="C73" s="4" t="s">
        <v>379</v>
      </c>
      <c r="D73" s="4" t="s">
        <v>369</v>
      </c>
      <c r="E73" s="4" t="s">
        <v>644</v>
      </c>
      <c r="F73" s="4" t="s">
        <v>644</v>
      </c>
      <c r="G73" s="4" t="n">
        <v>1</v>
      </c>
      <c r="H73" s="4" t="s">
        <v>359</v>
      </c>
      <c r="I73" s="22" t="n">
        <v>0.15</v>
      </c>
      <c r="J73" s="4" t="n">
        <v>89</v>
      </c>
      <c r="K73" s="4" t="n">
        <v>79</v>
      </c>
      <c r="L73" s="23" t="n">
        <f aca="false">IF(J73&gt;=5,K73/J73,"too few builds")</f>
        <v>0.887640449438202</v>
      </c>
      <c r="M73" s="22" t="n">
        <v>0</v>
      </c>
      <c r="N73" s="22" t="n">
        <v>0</v>
      </c>
      <c r="O73" s="4"/>
      <c r="P73" s="4"/>
      <c r="Q73" s="4"/>
      <c r="R73" s="4" t="s">
        <v>645</v>
      </c>
    </row>
    <row r="74" customFormat="false" ht="15" hidden="false" customHeight="false" outlineLevel="0" collapsed="false">
      <c r="A74" s="4" t="s">
        <v>646</v>
      </c>
      <c r="B74" s="4" t="s">
        <v>647</v>
      </c>
      <c r="C74" s="4" t="s">
        <v>379</v>
      </c>
      <c r="D74" s="4" t="s">
        <v>359</v>
      </c>
      <c r="E74" s="4" t="s">
        <v>648</v>
      </c>
      <c r="F74" s="4" t="s">
        <v>648</v>
      </c>
      <c r="G74" s="4" t="n">
        <v>30</v>
      </c>
      <c r="H74" s="4" t="s">
        <v>359</v>
      </c>
      <c r="I74" s="22" t="n">
        <v>0.1</v>
      </c>
      <c r="J74" s="4" t="n">
        <v>87</v>
      </c>
      <c r="K74" s="4" t="n">
        <v>46</v>
      </c>
      <c r="L74" s="23" t="n">
        <f aca="false">IF(J74&gt;=5,K74/J74,"too few builds")</f>
        <v>0.528735632183908</v>
      </c>
      <c r="M74" s="22" t="n">
        <v>0</v>
      </c>
      <c r="N74" s="22" t="n">
        <v>0</v>
      </c>
      <c r="O74" s="4"/>
      <c r="P74" s="4"/>
      <c r="Q74" s="4"/>
      <c r="R74" s="4" t="s">
        <v>649</v>
      </c>
    </row>
    <row r="75" customFormat="false" ht="15" hidden="false" customHeight="false" outlineLevel="0" collapsed="false">
      <c r="A75" s="4" t="s">
        <v>650</v>
      </c>
      <c r="B75" s="4" t="s">
        <v>408</v>
      </c>
      <c r="C75" s="4" t="s">
        <v>379</v>
      </c>
      <c r="D75" s="4" t="s">
        <v>359</v>
      </c>
      <c r="E75" s="4" t="s">
        <v>651</v>
      </c>
      <c r="F75" s="4" t="s">
        <v>652</v>
      </c>
      <c r="G75" s="4" t="n">
        <v>40</v>
      </c>
      <c r="H75" s="4" t="s">
        <v>359</v>
      </c>
      <c r="I75" s="22" t="n">
        <v>0</v>
      </c>
      <c r="J75" s="4" t="n">
        <v>66</v>
      </c>
      <c r="K75" s="4" t="n">
        <v>11</v>
      </c>
      <c r="L75" s="23" t="n">
        <f aca="false">IF(J75&gt;=5,K75/J75,"too few builds")</f>
        <v>0.166666666666667</v>
      </c>
      <c r="M75" s="22" t="n">
        <v>0</v>
      </c>
      <c r="N75" s="22" t="n">
        <v>0</v>
      </c>
      <c r="O75" s="4"/>
      <c r="P75" s="4"/>
      <c r="Q75" s="4"/>
      <c r="R75" s="4" t="s">
        <v>653</v>
      </c>
    </row>
    <row r="76" customFormat="false" ht="15" hidden="false" customHeight="false" outlineLevel="0" collapsed="false">
      <c r="A76" s="4" t="s">
        <v>654</v>
      </c>
      <c r="B76" s="4" t="s">
        <v>655</v>
      </c>
      <c r="C76" s="4" t="s">
        <v>419</v>
      </c>
      <c r="D76" s="4" t="s">
        <v>359</v>
      </c>
      <c r="E76" s="4" t="s">
        <v>656</v>
      </c>
      <c r="F76" s="4" t="s">
        <v>656</v>
      </c>
      <c r="G76" s="4" t="n">
        <v>55</v>
      </c>
      <c r="H76" s="4" t="s">
        <v>359</v>
      </c>
      <c r="I76" s="22" t="n">
        <v>0</v>
      </c>
      <c r="J76" s="4" t="n">
        <v>93</v>
      </c>
      <c r="K76" s="4" t="n">
        <v>2</v>
      </c>
      <c r="L76" s="23" t="n">
        <f aca="false">IF(J76&gt;=5,K76/J76,"too few builds")</f>
        <v>0.021505376344086</v>
      </c>
      <c r="M76" s="22" t="n">
        <v>0</v>
      </c>
      <c r="N76" s="22" t="n">
        <v>0</v>
      </c>
      <c r="O76" s="4"/>
      <c r="P76" s="4"/>
      <c r="Q76" s="4"/>
      <c r="R76" s="4" t="s">
        <v>657</v>
      </c>
    </row>
    <row r="77" customFormat="false" ht="15" hidden="false" customHeight="false" outlineLevel="0" collapsed="false">
      <c r="A77" s="4" t="s">
        <v>658</v>
      </c>
      <c r="B77" s="4" t="s">
        <v>659</v>
      </c>
      <c r="C77" s="4" t="s">
        <v>379</v>
      </c>
      <c r="D77" s="4" t="s">
        <v>359</v>
      </c>
      <c r="E77" s="4" t="s">
        <v>660</v>
      </c>
      <c r="F77" s="4" t="s">
        <v>661</v>
      </c>
      <c r="G77" s="4" t="n">
        <v>60</v>
      </c>
      <c r="H77" s="4" t="s">
        <v>359</v>
      </c>
      <c r="I77" s="22" t="n">
        <v>0.03</v>
      </c>
      <c r="J77" s="4" t="n">
        <v>57</v>
      </c>
      <c r="K77" s="4" t="n">
        <v>15</v>
      </c>
      <c r="L77" s="23" t="n">
        <f aca="false">IF(J77&gt;=5,K77/J77,"too few builds")</f>
        <v>0.263157894736842</v>
      </c>
      <c r="M77" s="22" t="n">
        <v>0</v>
      </c>
      <c r="N77" s="22" t="n">
        <v>0</v>
      </c>
      <c r="O77" s="4"/>
      <c r="P77" s="4"/>
      <c r="Q77" s="4"/>
      <c r="R77" s="4" t="s">
        <v>662</v>
      </c>
    </row>
    <row r="78" customFormat="false" ht="15" hidden="false" customHeight="false" outlineLevel="0" collapsed="false">
      <c r="A78" s="4" t="s">
        <v>663</v>
      </c>
      <c r="B78" s="4" t="s">
        <v>664</v>
      </c>
      <c r="C78" s="4" t="s">
        <v>379</v>
      </c>
      <c r="D78" s="4" t="s">
        <v>369</v>
      </c>
      <c r="E78" s="4" t="s">
        <v>603</v>
      </c>
      <c r="F78" s="4" t="s">
        <v>603</v>
      </c>
      <c r="G78" s="4" t="n">
        <v>30</v>
      </c>
      <c r="H78" s="4" t="s">
        <v>359</v>
      </c>
      <c r="I78" s="22" t="n">
        <v>0</v>
      </c>
      <c r="J78" s="4" t="n">
        <v>177</v>
      </c>
      <c r="K78" s="4" t="n">
        <v>0</v>
      </c>
      <c r="L78" s="23" t="n">
        <f aca="false">IF(J78&gt;=5,K78/J78,"too few builds")</f>
        <v>0</v>
      </c>
      <c r="M78" s="22" t="n">
        <v>0</v>
      </c>
      <c r="N78" s="22" t="n">
        <v>0</v>
      </c>
      <c r="O78" s="4"/>
      <c r="P78" s="4" t="s">
        <v>665</v>
      </c>
      <c r="Q78" s="4"/>
      <c r="R78" s="4"/>
    </row>
    <row r="79" customFormat="false" ht="15" hidden="false" customHeight="false" outlineLevel="0" collapsed="false">
      <c r="A79" s="4" t="s">
        <v>666</v>
      </c>
      <c r="B79" s="4" t="s">
        <v>667</v>
      </c>
      <c r="C79" s="4" t="s">
        <v>379</v>
      </c>
      <c r="D79" s="4" t="s">
        <v>359</v>
      </c>
      <c r="E79" s="4" t="s">
        <v>668</v>
      </c>
      <c r="F79" s="4" t="s">
        <v>669</v>
      </c>
      <c r="G79" s="4" t="n">
        <v>25</v>
      </c>
      <c r="H79" s="4" t="s">
        <v>359</v>
      </c>
      <c r="I79" s="22" t="n">
        <v>0.06</v>
      </c>
      <c r="J79" s="4" t="n">
        <v>106</v>
      </c>
      <c r="K79" s="4" t="n">
        <v>28</v>
      </c>
      <c r="L79" s="23" t="n">
        <f aca="false">IF(J79&gt;=5,K79/J79,"too few builds")</f>
        <v>0.264150943396226</v>
      </c>
      <c r="M79" s="22" t="n">
        <v>0</v>
      </c>
      <c r="N79" s="22" t="n">
        <v>0</v>
      </c>
      <c r="O79" s="4"/>
      <c r="P79" s="4" t="s">
        <v>670</v>
      </c>
      <c r="Q79" s="4"/>
      <c r="R79" s="4" t="s">
        <v>671</v>
      </c>
    </row>
    <row r="80" customFormat="false" ht="15" hidden="false" customHeight="false" outlineLevel="0" collapsed="false">
      <c r="A80" s="4" t="s">
        <v>672</v>
      </c>
      <c r="B80" s="4" t="s">
        <v>571</v>
      </c>
      <c r="C80" s="4" t="s">
        <v>379</v>
      </c>
      <c r="D80" s="4" t="s">
        <v>359</v>
      </c>
      <c r="E80" s="4" t="s">
        <v>673</v>
      </c>
      <c r="F80" s="4" t="s">
        <v>673</v>
      </c>
      <c r="G80" s="4" t="n">
        <v>25</v>
      </c>
      <c r="H80" s="4" t="s">
        <v>359</v>
      </c>
      <c r="I80" s="22" t="n">
        <v>0.57</v>
      </c>
      <c r="J80" s="4" t="n">
        <v>438</v>
      </c>
      <c r="K80" s="4" t="n">
        <v>276</v>
      </c>
      <c r="L80" s="23" t="n">
        <f aca="false">IF(J80&gt;=5,K80/J80,"too few builds")</f>
        <v>0.63013698630137</v>
      </c>
      <c r="M80" s="22" t="n">
        <v>0</v>
      </c>
      <c r="N80" s="22" t="n">
        <v>0</v>
      </c>
      <c r="O80" s="4"/>
      <c r="P80" s="4"/>
      <c r="Q80" s="4"/>
      <c r="R80" s="4" t="s">
        <v>674</v>
      </c>
    </row>
    <row r="81" customFormat="false" ht="15" hidden="false" customHeight="false" outlineLevel="0" collapsed="false">
      <c r="A81" s="4" t="s">
        <v>675</v>
      </c>
      <c r="B81" s="4" t="s">
        <v>634</v>
      </c>
      <c r="C81" s="4" t="s">
        <v>379</v>
      </c>
      <c r="D81" s="4" t="s">
        <v>359</v>
      </c>
      <c r="E81" s="4" t="s">
        <v>676</v>
      </c>
      <c r="F81" s="4" t="s">
        <v>676</v>
      </c>
      <c r="G81" s="4" t="n">
        <v>80</v>
      </c>
      <c r="H81" s="4" t="s">
        <v>359</v>
      </c>
      <c r="I81" s="22" t="n">
        <v>0</v>
      </c>
      <c r="J81" s="4" t="n">
        <v>11</v>
      </c>
      <c r="K81" s="4" t="n">
        <v>3</v>
      </c>
      <c r="L81" s="23" t="n">
        <f aca="false">IF(J81&gt;=5,K81/J81,"too few builds")</f>
        <v>0.272727272727273</v>
      </c>
      <c r="M81" s="22" t="n">
        <v>0</v>
      </c>
      <c r="N81" s="22" t="n">
        <v>0</v>
      </c>
      <c r="O81" s="4"/>
      <c r="P81" s="4"/>
      <c r="Q81" s="4"/>
      <c r="R81" s="4" t="s">
        <v>677</v>
      </c>
    </row>
    <row r="82" customFormat="false" ht="15" hidden="false" customHeight="false" outlineLevel="0" collapsed="false">
      <c r="A82" s="4" t="s">
        <v>678</v>
      </c>
      <c r="B82" s="4" t="s">
        <v>679</v>
      </c>
      <c r="C82" s="4" t="s">
        <v>379</v>
      </c>
      <c r="D82" s="4" t="s">
        <v>359</v>
      </c>
      <c r="E82" s="4" t="s">
        <v>680</v>
      </c>
      <c r="F82" s="4" t="s">
        <v>680</v>
      </c>
      <c r="G82" s="4" t="n">
        <v>50</v>
      </c>
      <c r="H82" s="4" t="s">
        <v>359</v>
      </c>
      <c r="I82" s="22" t="n">
        <v>0</v>
      </c>
      <c r="J82" s="4" t="n">
        <v>137</v>
      </c>
      <c r="K82" s="4" t="n">
        <v>10</v>
      </c>
      <c r="L82" s="23" t="n">
        <f aca="false">IF(J82&gt;=5,K82/J82,"too few builds")</f>
        <v>0.072992700729927</v>
      </c>
      <c r="M82" s="22" t="n">
        <v>0</v>
      </c>
      <c r="N82" s="22" t="n">
        <v>0</v>
      </c>
      <c r="O82" s="4"/>
      <c r="P82" s="4"/>
      <c r="Q82" s="4"/>
      <c r="R82" s="4" t="s">
        <v>681</v>
      </c>
    </row>
    <row r="83" customFormat="false" ht="15" hidden="false" customHeight="false" outlineLevel="0" collapsed="false">
      <c r="A83" s="4" t="s">
        <v>682</v>
      </c>
      <c r="B83" s="4" t="s">
        <v>683</v>
      </c>
      <c r="C83" s="4" t="s">
        <v>379</v>
      </c>
      <c r="D83" s="4" t="s">
        <v>359</v>
      </c>
      <c r="E83" s="4" t="s">
        <v>684</v>
      </c>
      <c r="F83" s="4" t="s">
        <v>684</v>
      </c>
      <c r="G83" s="4" t="n">
        <v>65</v>
      </c>
      <c r="H83" s="4" t="s">
        <v>359</v>
      </c>
      <c r="I83" s="22" t="n">
        <v>0.11</v>
      </c>
      <c r="J83" s="4" t="n">
        <v>264</v>
      </c>
      <c r="K83" s="4" t="n">
        <v>57</v>
      </c>
      <c r="L83" s="23" t="n">
        <f aca="false">IF(J83&gt;=5,K83/J83,"too few builds")</f>
        <v>0.215909090909091</v>
      </c>
      <c r="M83" s="22" t="n">
        <v>0</v>
      </c>
      <c r="N83" s="22" t="n">
        <v>0</v>
      </c>
      <c r="O83" s="4"/>
      <c r="P83" s="4" t="s">
        <v>685</v>
      </c>
      <c r="Q83" s="4"/>
      <c r="R83" s="4" t="s">
        <v>686</v>
      </c>
    </row>
    <row r="84" customFormat="false" ht="15" hidden="false" customHeight="false" outlineLevel="0" collapsed="false">
      <c r="A84" s="4" t="s">
        <v>687</v>
      </c>
      <c r="B84" s="4" t="s">
        <v>688</v>
      </c>
      <c r="C84" s="4" t="s">
        <v>379</v>
      </c>
      <c r="D84" s="4" t="s">
        <v>359</v>
      </c>
      <c r="E84" s="4" t="s">
        <v>529</v>
      </c>
      <c r="F84" s="4" t="s">
        <v>529</v>
      </c>
      <c r="G84" s="4" t="n">
        <v>30</v>
      </c>
      <c r="H84" s="4" t="s">
        <v>359</v>
      </c>
      <c r="I84" s="22" t="n">
        <v>0.09</v>
      </c>
      <c r="J84" s="4" t="n">
        <v>147</v>
      </c>
      <c r="K84" s="4" t="n">
        <v>42</v>
      </c>
      <c r="L84" s="23" t="n">
        <f aca="false">IF(J84&gt;=5,K84/J84,"too few builds")</f>
        <v>0.285714285714286</v>
      </c>
      <c r="M84" s="22" t="n">
        <v>0</v>
      </c>
      <c r="N84" s="22" t="n">
        <v>0</v>
      </c>
      <c r="O84" s="4"/>
      <c r="P84" s="4" t="s">
        <v>689</v>
      </c>
      <c r="Q84" s="4"/>
      <c r="R84" s="4" t="s">
        <v>690</v>
      </c>
    </row>
    <row r="85" customFormat="false" ht="15" hidden="false" customHeight="false" outlineLevel="0" collapsed="false">
      <c r="A85" s="4" t="s">
        <v>691</v>
      </c>
      <c r="B85" s="4" t="s">
        <v>692</v>
      </c>
      <c r="C85" s="4" t="s">
        <v>379</v>
      </c>
      <c r="D85" s="4" t="s">
        <v>359</v>
      </c>
      <c r="E85" s="4" t="s">
        <v>693</v>
      </c>
      <c r="F85" s="4" t="s">
        <v>693</v>
      </c>
      <c r="G85" s="4" t="n">
        <v>5</v>
      </c>
      <c r="H85" s="4" t="s">
        <v>359</v>
      </c>
      <c r="I85" s="22" t="n">
        <v>0.78</v>
      </c>
      <c r="J85" s="4" t="n">
        <v>436</v>
      </c>
      <c r="K85" s="4" t="n">
        <v>381</v>
      </c>
      <c r="L85" s="23" t="n">
        <f aca="false">IF(J85&gt;=5,K85/J85,"too few builds")</f>
        <v>0.873853211009174</v>
      </c>
      <c r="M85" s="22" t="n">
        <v>0</v>
      </c>
      <c r="N85" s="22" t="n">
        <v>0</v>
      </c>
      <c r="O85" s="4"/>
      <c r="P85" s="4"/>
      <c r="Q85" s="4"/>
      <c r="R85" s="4" t="s">
        <v>694</v>
      </c>
    </row>
    <row r="86" customFormat="false" ht="15" hidden="false" customHeight="false" outlineLevel="0" collapsed="false">
      <c r="A86" s="4" t="s">
        <v>695</v>
      </c>
      <c r="B86" s="4" t="s">
        <v>423</v>
      </c>
      <c r="C86" s="4" t="s">
        <v>379</v>
      </c>
      <c r="D86" s="4" t="s">
        <v>359</v>
      </c>
      <c r="E86" s="4" t="s">
        <v>696</v>
      </c>
      <c r="F86" s="4" t="s">
        <v>696</v>
      </c>
      <c r="G86" s="4" t="n">
        <v>30</v>
      </c>
      <c r="H86" s="4" t="s">
        <v>359</v>
      </c>
      <c r="I86" s="22" t="n">
        <v>0.09</v>
      </c>
      <c r="J86" s="4" t="n">
        <v>106</v>
      </c>
      <c r="K86" s="4" t="n">
        <v>34</v>
      </c>
      <c r="L86" s="23" t="n">
        <f aca="false">IF(J86&gt;=5,K86/J86,"too few builds")</f>
        <v>0.320754716981132</v>
      </c>
      <c r="M86" s="22" t="n">
        <v>0</v>
      </c>
      <c r="N86" s="22" t="n">
        <v>0</v>
      </c>
      <c r="O86" s="4"/>
      <c r="P86" s="4"/>
      <c r="Q86" s="4"/>
      <c r="R86" s="4" t="s">
        <v>697</v>
      </c>
    </row>
    <row r="87" customFormat="false" ht="15" hidden="false" customHeight="false" outlineLevel="0" collapsed="false">
      <c r="A87" s="4" t="s">
        <v>698</v>
      </c>
      <c r="B87" s="4" t="s">
        <v>699</v>
      </c>
      <c r="C87" s="4" t="s">
        <v>358</v>
      </c>
      <c r="D87" s="4" t="s">
        <v>359</v>
      </c>
      <c r="E87" s="4" t="s">
        <v>700</v>
      </c>
      <c r="F87" s="4" t="s">
        <v>701</v>
      </c>
      <c r="G87" s="4" t="n">
        <v>200</v>
      </c>
      <c r="H87" s="4" t="s">
        <v>359</v>
      </c>
      <c r="I87" s="22" t="n">
        <v>0.09</v>
      </c>
      <c r="J87" s="4" t="n">
        <v>39</v>
      </c>
      <c r="K87" s="4" t="n">
        <v>39</v>
      </c>
      <c r="L87" s="23" t="n">
        <f aca="false">IF(J87&gt;=5,K87/J87,"too few builds")</f>
        <v>1</v>
      </c>
      <c r="M87" s="22" t="n">
        <v>0</v>
      </c>
      <c r="N87" s="22" t="n">
        <v>0</v>
      </c>
      <c r="O87" s="4"/>
      <c r="P87" s="4"/>
      <c r="Q87" s="4"/>
      <c r="R87" s="4" t="s">
        <v>702</v>
      </c>
    </row>
    <row r="88" customFormat="false" ht="15" hidden="false" customHeight="false" outlineLevel="0" collapsed="false">
      <c r="A88" s="4" t="s">
        <v>703</v>
      </c>
      <c r="B88" s="4" t="s">
        <v>704</v>
      </c>
      <c r="C88" s="4" t="s">
        <v>379</v>
      </c>
      <c r="D88" s="4" t="s">
        <v>359</v>
      </c>
      <c r="E88" s="4" t="s">
        <v>705</v>
      </c>
      <c r="F88" s="4" t="s">
        <v>705</v>
      </c>
      <c r="G88" s="4" t="n">
        <v>70</v>
      </c>
      <c r="H88" s="4" t="s">
        <v>359</v>
      </c>
      <c r="I88" s="22" t="n">
        <v>0.11</v>
      </c>
      <c r="J88" s="4" t="n">
        <v>88</v>
      </c>
      <c r="K88" s="4" t="n">
        <v>55</v>
      </c>
      <c r="L88" s="23" t="n">
        <f aca="false">IF(J88&gt;=5,K88/J88,"too few builds")</f>
        <v>0.625</v>
      </c>
      <c r="M88" s="22" t="n">
        <v>0</v>
      </c>
      <c r="N88" s="22" t="n">
        <v>0</v>
      </c>
      <c r="O88" s="4"/>
      <c r="P88" s="4"/>
      <c r="Q88" s="4"/>
      <c r="R88" s="4" t="s">
        <v>706</v>
      </c>
    </row>
    <row r="89" customFormat="false" ht="15" hidden="false" customHeight="false" outlineLevel="0" collapsed="false">
      <c r="A89" s="4" t="s">
        <v>707</v>
      </c>
      <c r="B89" s="4" t="s">
        <v>708</v>
      </c>
      <c r="C89" s="4" t="s">
        <v>379</v>
      </c>
      <c r="D89" s="4" t="s">
        <v>359</v>
      </c>
      <c r="E89" s="4" t="s">
        <v>585</v>
      </c>
      <c r="F89" s="4" t="s">
        <v>371</v>
      </c>
      <c r="G89" s="4" t="n">
        <v>0</v>
      </c>
      <c r="H89" s="4" t="s">
        <v>369</v>
      </c>
      <c r="I89" s="22" t="n">
        <v>0</v>
      </c>
      <c r="J89" s="4" t="n">
        <v>500</v>
      </c>
      <c r="K89" s="4" t="n">
        <v>12</v>
      </c>
      <c r="L89" s="23" t="n">
        <f aca="false">IF(J89&gt;=5,K89/J89,"too few builds")</f>
        <v>0.024</v>
      </c>
      <c r="M89" s="22" t="n">
        <v>0</v>
      </c>
      <c r="N89" s="22" t="n">
        <v>0</v>
      </c>
      <c r="O89" s="4"/>
      <c r="P89" s="4"/>
      <c r="Q89" s="4"/>
      <c r="R89" s="4" t="s">
        <v>709</v>
      </c>
    </row>
    <row r="90" customFormat="false" ht="15" hidden="false" customHeight="false" outlineLevel="0" collapsed="false">
      <c r="A90" s="4" t="s">
        <v>710</v>
      </c>
      <c r="B90" s="4" t="s">
        <v>711</v>
      </c>
      <c r="C90" s="4" t="s">
        <v>379</v>
      </c>
      <c r="D90" s="4" t="s">
        <v>359</v>
      </c>
      <c r="E90" s="4" t="s">
        <v>712</v>
      </c>
      <c r="F90" s="4" t="s">
        <v>712</v>
      </c>
      <c r="G90" s="4" t="n">
        <v>50</v>
      </c>
      <c r="H90" s="4" t="s">
        <v>359</v>
      </c>
      <c r="I90" s="22" t="n">
        <v>0.19</v>
      </c>
      <c r="J90" s="4" t="n">
        <v>127</v>
      </c>
      <c r="K90" s="4" t="n">
        <v>85</v>
      </c>
      <c r="L90" s="23" t="n">
        <f aca="false">IF(J90&gt;=5,K90/J90,"too few builds")</f>
        <v>0.669291338582677</v>
      </c>
      <c r="M90" s="22" t="n">
        <v>0</v>
      </c>
      <c r="N90" s="22" t="n">
        <v>0</v>
      </c>
      <c r="O90" s="4"/>
      <c r="P90" s="4"/>
      <c r="Q90" s="4"/>
      <c r="R90" s="4" t="s">
        <v>713</v>
      </c>
    </row>
    <row r="91" customFormat="false" ht="15" hidden="false" customHeight="false" outlineLevel="0" collapsed="false">
      <c r="A91" s="4" t="s">
        <v>714</v>
      </c>
      <c r="B91" s="4" t="s">
        <v>704</v>
      </c>
      <c r="C91" s="4" t="s">
        <v>419</v>
      </c>
      <c r="D91" s="4" t="s">
        <v>359</v>
      </c>
      <c r="E91" s="4" t="s">
        <v>715</v>
      </c>
      <c r="F91" s="4" t="s">
        <v>715</v>
      </c>
      <c r="G91" s="4" t="n">
        <v>25</v>
      </c>
      <c r="H91" s="4" t="s">
        <v>359</v>
      </c>
      <c r="I91" s="22" t="n">
        <v>0.42</v>
      </c>
      <c r="J91" s="4" t="n">
        <v>349</v>
      </c>
      <c r="K91" s="4" t="n">
        <v>197</v>
      </c>
      <c r="L91" s="23" t="n">
        <f aca="false">IF(J91&gt;=5,K91/J91,"too few builds")</f>
        <v>0.564469914040115</v>
      </c>
      <c r="M91" s="22" t="n">
        <v>0</v>
      </c>
      <c r="N91" s="22" t="n">
        <v>0</v>
      </c>
      <c r="O91" s="4"/>
      <c r="P91" s="4"/>
      <c r="Q91" s="4" t="s">
        <v>716</v>
      </c>
      <c r="R91" s="4" t="s">
        <v>717</v>
      </c>
    </row>
    <row r="92" customFormat="false" ht="15" hidden="false" customHeight="false" outlineLevel="0" collapsed="false">
      <c r="A92" s="4" t="s">
        <v>718</v>
      </c>
      <c r="B92" s="4" t="s">
        <v>527</v>
      </c>
      <c r="C92" s="4" t="s">
        <v>379</v>
      </c>
      <c r="D92" s="4" t="s">
        <v>359</v>
      </c>
      <c r="E92" s="4" t="s">
        <v>719</v>
      </c>
      <c r="F92" s="4" t="s">
        <v>720</v>
      </c>
      <c r="G92" s="4" t="n">
        <v>20</v>
      </c>
      <c r="H92" s="4" t="s">
        <v>359</v>
      </c>
      <c r="I92" s="22" t="n">
        <v>0</v>
      </c>
      <c r="J92" s="4" t="n">
        <v>498</v>
      </c>
      <c r="K92" s="4" t="n">
        <v>10</v>
      </c>
      <c r="L92" s="23" t="n">
        <f aca="false">IF(J92&gt;=5,K92/J92,"too few builds")</f>
        <v>0.0200803212851406</v>
      </c>
      <c r="M92" s="22" t="n">
        <v>0</v>
      </c>
      <c r="N92" s="22" t="n">
        <v>0</v>
      </c>
      <c r="O92" s="4"/>
      <c r="P92" s="4"/>
      <c r="Q92" s="4"/>
      <c r="R92" s="4"/>
    </row>
    <row r="93" customFormat="false" ht="15" hidden="false" customHeight="false" outlineLevel="0" collapsed="false">
      <c r="A93" s="4" t="s">
        <v>721</v>
      </c>
      <c r="B93" s="4" t="s">
        <v>722</v>
      </c>
      <c r="C93" s="4" t="s">
        <v>379</v>
      </c>
      <c r="D93" s="4" t="s">
        <v>359</v>
      </c>
      <c r="E93" s="4" t="s">
        <v>723</v>
      </c>
      <c r="F93" s="4" t="s">
        <v>724</v>
      </c>
      <c r="G93" s="4" t="n">
        <v>80</v>
      </c>
      <c r="H93" s="4" t="s">
        <v>359</v>
      </c>
      <c r="I93" s="22" t="n">
        <v>0.03</v>
      </c>
      <c r="J93" s="4" t="n">
        <v>23</v>
      </c>
      <c r="K93" s="4" t="n">
        <v>18</v>
      </c>
      <c r="L93" s="23" t="n">
        <f aca="false">IF(J93&gt;=5,K93/J93,"too few builds")</f>
        <v>0.782608695652174</v>
      </c>
      <c r="M93" s="22" t="n">
        <v>0</v>
      </c>
      <c r="N93" s="22" t="n">
        <v>0</v>
      </c>
      <c r="O93" s="4"/>
      <c r="P93" s="4"/>
      <c r="Q93" s="4"/>
      <c r="R93" s="4" t="s">
        <v>725</v>
      </c>
    </row>
    <row r="94" customFormat="false" ht="15" hidden="false" customHeight="false" outlineLevel="0" collapsed="false">
      <c r="A94" s="4" t="s">
        <v>726</v>
      </c>
      <c r="B94" s="4" t="s">
        <v>722</v>
      </c>
      <c r="C94" s="4" t="s">
        <v>419</v>
      </c>
      <c r="D94" s="4" t="s">
        <v>359</v>
      </c>
      <c r="E94" s="4" t="s">
        <v>727</v>
      </c>
      <c r="F94" s="4" t="s">
        <v>728</v>
      </c>
      <c r="G94" s="4" t="n">
        <v>100</v>
      </c>
      <c r="H94" s="4" t="s">
        <v>359</v>
      </c>
      <c r="I94" s="22" t="n">
        <v>0</v>
      </c>
      <c r="J94" s="4" t="n">
        <v>11</v>
      </c>
      <c r="K94" s="4" t="n">
        <v>3</v>
      </c>
      <c r="L94" s="23" t="n">
        <f aca="false">IF(J94&gt;=5,K94/J94,"too few builds")</f>
        <v>0.272727272727273</v>
      </c>
      <c r="M94" s="22" t="n">
        <v>0</v>
      </c>
      <c r="N94" s="22" t="n">
        <v>0</v>
      </c>
      <c r="O94" s="4"/>
      <c r="P94" s="4"/>
      <c r="Q94" s="4"/>
      <c r="R94" s="4" t="s">
        <v>729</v>
      </c>
    </row>
    <row r="95" customFormat="false" ht="15" hidden="false" customHeight="false" outlineLevel="0" collapsed="false">
      <c r="A95" s="4" t="s">
        <v>730</v>
      </c>
      <c r="B95" s="4" t="s">
        <v>731</v>
      </c>
      <c r="C95" s="4" t="s">
        <v>379</v>
      </c>
      <c r="D95" s="4" t="s">
        <v>359</v>
      </c>
      <c r="E95" s="4" t="s">
        <v>732</v>
      </c>
      <c r="F95" s="4" t="s">
        <v>732</v>
      </c>
      <c r="G95" s="4" t="n">
        <v>20</v>
      </c>
      <c r="H95" s="4" t="s">
        <v>359</v>
      </c>
      <c r="I95" s="22" t="n">
        <v>0</v>
      </c>
      <c r="J95" s="4" t="n">
        <v>348</v>
      </c>
      <c r="K95" s="4" t="n">
        <v>12</v>
      </c>
      <c r="L95" s="23" t="n">
        <f aca="false">IF(J95&gt;=5,K95/J95,"too few builds")</f>
        <v>0.0344827586206897</v>
      </c>
      <c r="M95" s="22" t="n">
        <v>0</v>
      </c>
      <c r="N95" s="22" t="n">
        <v>0</v>
      </c>
      <c r="O95" s="4"/>
      <c r="P95" s="4" t="s">
        <v>733</v>
      </c>
      <c r="Q95" s="4"/>
      <c r="R95" s="4" t="s">
        <v>734</v>
      </c>
    </row>
    <row r="96" customFormat="false" ht="15" hidden="false" customHeight="false" outlineLevel="0" collapsed="false">
      <c r="A96" s="4" t="s">
        <v>735</v>
      </c>
      <c r="B96" s="4" t="s">
        <v>483</v>
      </c>
      <c r="C96" s="4" t="s">
        <v>379</v>
      </c>
      <c r="D96" s="4" t="s">
        <v>359</v>
      </c>
      <c r="E96" s="4" t="s">
        <v>736</v>
      </c>
      <c r="F96" s="4" t="s">
        <v>736</v>
      </c>
      <c r="G96" s="4" t="n">
        <v>30</v>
      </c>
      <c r="H96" s="4" t="s">
        <v>359</v>
      </c>
      <c r="I96" s="22" t="n">
        <v>0.04</v>
      </c>
      <c r="J96" s="4" t="n">
        <v>288</v>
      </c>
      <c r="K96" s="4" t="n">
        <v>22</v>
      </c>
      <c r="L96" s="23" t="n">
        <f aca="false">IF(J96&gt;=5,K96/J96,"too few builds")</f>
        <v>0.0763888888888889</v>
      </c>
      <c r="M96" s="22" t="n">
        <v>0</v>
      </c>
      <c r="N96" s="22" t="n">
        <v>0</v>
      </c>
      <c r="O96" s="4"/>
      <c r="P96" s="4" t="s">
        <v>737</v>
      </c>
      <c r="Q96" s="4"/>
      <c r="R96" s="4" t="s">
        <v>738</v>
      </c>
    </row>
    <row r="97" customFormat="false" ht="15" hidden="false" customHeight="false" outlineLevel="0" collapsed="false">
      <c r="A97" s="4" t="s">
        <v>739</v>
      </c>
      <c r="B97" s="4" t="s">
        <v>740</v>
      </c>
      <c r="C97" s="4" t="s">
        <v>379</v>
      </c>
      <c r="D97" s="4" t="s">
        <v>359</v>
      </c>
      <c r="E97" s="4" t="s">
        <v>741</v>
      </c>
      <c r="F97" s="4" t="s">
        <v>742</v>
      </c>
      <c r="G97" s="4" t="n">
        <v>50</v>
      </c>
      <c r="H97" s="4" t="s">
        <v>359</v>
      </c>
      <c r="I97" s="22" t="n">
        <v>0</v>
      </c>
      <c r="J97" s="4" t="n">
        <v>271</v>
      </c>
      <c r="K97" s="4" t="n">
        <v>9</v>
      </c>
      <c r="L97" s="23" t="n">
        <f aca="false">IF(J97&gt;=5,K97/J97,"too few builds")</f>
        <v>0.033210332103321</v>
      </c>
      <c r="M97" s="22" t="n">
        <v>0</v>
      </c>
      <c r="N97" s="22" t="n">
        <v>0</v>
      </c>
      <c r="O97" s="4"/>
      <c r="P97" s="4"/>
      <c r="Q97" s="4"/>
      <c r="R97" s="4" t="s">
        <v>743</v>
      </c>
    </row>
    <row r="98" customFormat="false" ht="15" hidden="false" customHeight="false" outlineLevel="0" collapsed="false">
      <c r="A98" s="4" t="s">
        <v>744</v>
      </c>
      <c r="B98" s="4" t="s">
        <v>683</v>
      </c>
      <c r="C98" s="4" t="s">
        <v>584</v>
      </c>
      <c r="D98" s="4" t="s">
        <v>369</v>
      </c>
      <c r="E98" s="4" t="s">
        <v>585</v>
      </c>
      <c r="F98" s="4" t="s">
        <v>371</v>
      </c>
      <c r="G98" s="4" t="n">
        <v>0</v>
      </c>
      <c r="H98" s="4" t="s">
        <v>369</v>
      </c>
      <c r="I98" s="22" t="n">
        <v>0</v>
      </c>
      <c r="J98" s="4" t="n">
        <v>500</v>
      </c>
      <c r="K98" s="4" t="n">
        <v>6</v>
      </c>
      <c r="L98" s="23" t="n">
        <f aca="false">IF(J98&gt;=5,K98/J98,"too few builds")</f>
        <v>0.012</v>
      </c>
      <c r="M98" s="22" t="n">
        <v>0</v>
      </c>
      <c r="N98" s="22" t="n">
        <v>0</v>
      </c>
      <c r="O98" s="4"/>
      <c r="P98" s="4"/>
      <c r="Q98" s="4"/>
      <c r="R98" s="4" t="s">
        <v>745</v>
      </c>
    </row>
    <row r="99" customFormat="false" ht="15" hidden="false" customHeight="false" outlineLevel="0" collapsed="false">
      <c r="A99" s="4" t="s">
        <v>746</v>
      </c>
      <c r="B99" s="4" t="s">
        <v>747</v>
      </c>
      <c r="C99" s="4" t="s">
        <v>419</v>
      </c>
      <c r="D99" s="4" t="s">
        <v>359</v>
      </c>
      <c r="E99" s="4" t="s">
        <v>748</v>
      </c>
      <c r="F99" s="4" t="s">
        <v>748</v>
      </c>
      <c r="G99" s="4" t="n">
        <v>10</v>
      </c>
      <c r="H99" s="4" t="s">
        <v>359</v>
      </c>
      <c r="I99" s="22" t="n">
        <v>0.4</v>
      </c>
      <c r="J99" s="4" t="n">
        <v>381</v>
      </c>
      <c r="K99" s="4" t="n">
        <v>187</v>
      </c>
      <c r="L99" s="23" t="n">
        <f aca="false">IF(J99&gt;=5,K99/J99,"too few builds")</f>
        <v>0.490813648293963</v>
      </c>
      <c r="M99" s="22" t="n">
        <v>0</v>
      </c>
      <c r="N99" s="22" t="n">
        <v>0</v>
      </c>
      <c r="O99" s="4"/>
      <c r="P99" s="4"/>
      <c r="Q99" s="4" t="s">
        <v>749</v>
      </c>
      <c r="R99" s="4" t="s">
        <v>750</v>
      </c>
    </row>
    <row r="100" customFormat="false" ht="15" hidden="false" customHeight="false" outlineLevel="0" collapsed="false">
      <c r="A100" s="4" t="s">
        <v>751</v>
      </c>
      <c r="B100" s="4" t="s">
        <v>565</v>
      </c>
      <c r="C100" s="4" t="s">
        <v>379</v>
      </c>
      <c r="D100" s="4" t="s">
        <v>359</v>
      </c>
      <c r="E100" s="4" t="s">
        <v>752</v>
      </c>
      <c r="F100" s="4" t="s">
        <v>753</v>
      </c>
      <c r="G100" s="4" t="n">
        <v>50</v>
      </c>
      <c r="H100" s="4" t="s">
        <v>359</v>
      </c>
      <c r="I100" s="22" t="n">
        <v>0.07</v>
      </c>
      <c r="J100" s="4" t="n">
        <v>74</v>
      </c>
      <c r="K100" s="4" t="n">
        <v>28</v>
      </c>
      <c r="L100" s="23" t="n">
        <f aca="false">IF(J100&gt;=5,K100/J100,"too few builds")</f>
        <v>0.378378378378378</v>
      </c>
      <c r="M100" s="22" t="n">
        <v>0</v>
      </c>
      <c r="N100" s="22" t="n">
        <v>0</v>
      </c>
      <c r="O100" s="4"/>
      <c r="P100" s="4"/>
      <c r="Q100" s="4"/>
      <c r="R100" s="4" t="s">
        <v>754</v>
      </c>
    </row>
    <row r="101" customFormat="false" ht="15" hidden="false" customHeight="false" outlineLevel="0" collapsed="false">
      <c r="A101" s="4" t="s">
        <v>755</v>
      </c>
      <c r="B101" s="4" t="s">
        <v>756</v>
      </c>
      <c r="C101" s="4" t="s">
        <v>379</v>
      </c>
      <c r="D101" s="4" t="s">
        <v>359</v>
      </c>
      <c r="E101" s="4" t="s">
        <v>757</v>
      </c>
      <c r="F101" s="4" t="s">
        <v>757</v>
      </c>
      <c r="G101" s="4" t="n">
        <v>45</v>
      </c>
      <c r="H101" s="4" t="s">
        <v>359</v>
      </c>
      <c r="I101" s="22" t="n">
        <v>0.06</v>
      </c>
      <c r="J101" s="4" t="n">
        <v>111</v>
      </c>
      <c r="K101" s="4" t="n">
        <v>30</v>
      </c>
      <c r="L101" s="23" t="n">
        <f aca="false">IF(J101&gt;=5,K101/J101,"too few builds")</f>
        <v>0.27027027027027</v>
      </c>
      <c r="M101" s="22" t="n">
        <v>0</v>
      </c>
      <c r="N101" s="22" t="n">
        <v>0</v>
      </c>
      <c r="O101" s="4"/>
      <c r="P101" s="4" t="s">
        <v>758</v>
      </c>
      <c r="Q101" s="4"/>
      <c r="R101" s="4" t="s">
        <v>759</v>
      </c>
    </row>
    <row r="102" customFormat="false" ht="15" hidden="false" customHeight="false" outlineLevel="0" collapsed="false">
      <c r="A102" s="4" t="s">
        <v>760</v>
      </c>
      <c r="B102" s="4" t="s">
        <v>761</v>
      </c>
      <c r="C102" s="4" t="s">
        <v>379</v>
      </c>
      <c r="D102" s="4" t="s">
        <v>359</v>
      </c>
      <c r="E102" s="4" t="s">
        <v>762</v>
      </c>
      <c r="F102" s="4" t="s">
        <v>762</v>
      </c>
      <c r="G102" s="4" t="n">
        <v>40</v>
      </c>
      <c r="H102" s="4" t="s">
        <v>359</v>
      </c>
      <c r="I102" s="22" t="n">
        <v>0</v>
      </c>
      <c r="J102" s="4" t="n">
        <v>194</v>
      </c>
      <c r="K102" s="4" t="n">
        <v>11</v>
      </c>
      <c r="L102" s="23" t="n">
        <f aca="false">IF(J102&gt;=5,K102/J102,"too few builds")</f>
        <v>0.0567010309278351</v>
      </c>
      <c r="M102" s="22" t="n">
        <v>0</v>
      </c>
      <c r="N102" s="22" t="n">
        <v>0</v>
      </c>
      <c r="O102" s="4"/>
      <c r="P102" s="4"/>
      <c r="Q102" s="4"/>
      <c r="R102" s="4" t="s">
        <v>763</v>
      </c>
    </row>
    <row r="103" customFormat="false" ht="15" hidden="false" customHeight="false" outlineLevel="0" collapsed="false">
      <c r="A103" s="4" t="s">
        <v>764</v>
      </c>
      <c r="B103" s="4" t="s">
        <v>491</v>
      </c>
      <c r="C103" s="4" t="s">
        <v>379</v>
      </c>
      <c r="D103" s="4" t="s">
        <v>359</v>
      </c>
      <c r="E103" s="4" t="s">
        <v>501</v>
      </c>
      <c r="F103" s="4" t="s">
        <v>501</v>
      </c>
      <c r="G103" s="4" t="n">
        <v>80</v>
      </c>
      <c r="H103" s="4" t="s">
        <v>359</v>
      </c>
      <c r="I103" s="22" t="n">
        <v>0</v>
      </c>
      <c r="J103" s="4" t="n">
        <v>64</v>
      </c>
      <c r="K103" s="4" t="n">
        <v>14</v>
      </c>
      <c r="L103" s="23" t="n">
        <f aca="false">IF(J103&gt;=5,K103/J103,"too few builds")</f>
        <v>0.21875</v>
      </c>
      <c r="M103" s="22" t="n">
        <v>0</v>
      </c>
      <c r="N103" s="22" t="n">
        <v>0</v>
      </c>
      <c r="O103" s="4"/>
      <c r="P103" s="4"/>
      <c r="Q103" s="4"/>
      <c r="R103" s="4" t="s">
        <v>765</v>
      </c>
    </row>
    <row r="104" customFormat="false" ht="15" hidden="false" customHeight="false" outlineLevel="0" collapsed="false">
      <c r="A104" s="4" t="s">
        <v>766</v>
      </c>
      <c r="B104" s="4" t="s">
        <v>767</v>
      </c>
      <c r="C104" s="4" t="s">
        <v>584</v>
      </c>
      <c r="D104" s="4" t="s">
        <v>369</v>
      </c>
      <c r="E104" s="4" t="s">
        <v>768</v>
      </c>
      <c r="F104" s="4" t="s">
        <v>371</v>
      </c>
      <c r="G104" s="4" t="n">
        <v>0</v>
      </c>
      <c r="H104" s="4" t="s">
        <v>369</v>
      </c>
      <c r="I104" s="22" t="n">
        <v>0</v>
      </c>
      <c r="J104" s="4" t="n">
        <v>500</v>
      </c>
      <c r="K104" s="4" t="n">
        <v>62</v>
      </c>
      <c r="L104" s="23" t="n">
        <f aca="false">IF(J104&gt;=5,K104/J104,"too few builds")</f>
        <v>0.124</v>
      </c>
      <c r="M104" s="22" t="n">
        <v>0</v>
      </c>
      <c r="N104" s="22" t="n">
        <v>0</v>
      </c>
      <c r="O104" s="4"/>
      <c r="P104" s="4"/>
      <c r="Q104" s="4"/>
      <c r="R104" s="4" t="s">
        <v>769</v>
      </c>
    </row>
    <row r="105" customFormat="false" ht="15" hidden="false" customHeight="false" outlineLevel="0" collapsed="false">
      <c r="A105" s="4" t="s">
        <v>770</v>
      </c>
      <c r="B105" s="4" t="s">
        <v>771</v>
      </c>
      <c r="C105" s="4" t="s">
        <v>332</v>
      </c>
      <c r="D105" s="4" t="s">
        <v>369</v>
      </c>
      <c r="E105" s="4" t="s">
        <v>772</v>
      </c>
      <c r="F105" s="4" t="s">
        <v>371</v>
      </c>
      <c r="G105" s="4" t="n">
        <v>0</v>
      </c>
      <c r="H105" s="4" t="s">
        <v>369</v>
      </c>
      <c r="I105" s="22" t="n">
        <v>0</v>
      </c>
      <c r="J105" s="4" t="n">
        <v>27</v>
      </c>
      <c r="K105" s="4" t="n">
        <v>9</v>
      </c>
      <c r="L105" s="23" t="n">
        <f aca="false">IF(J105&gt;=5,K105/J105,"too few builds")</f>
        <v>0.333333333333333</v>
      </c>
      <c r="M105" s="22" t="n">
        <v>0</v>
      </c>
      <c r="N105" s="22" t="n">
        <v>0</v>
      </c>
      <c r="O105" s="4"/>
      <c r="P105" s="4"/>
      <c r="Q105" s="4"/>
      <c r="R105" s="4" t="s">
        <v>773</v>
      </c>
    </row>
    <row r="106" customFormat="false" ht="15" hidden="false" customHeight="false" outlineLevel="0" collapsed="false">
      <c r="A106" s="4" t="s">
        <v>774</v>
      </c>
      <c r="B106" s="4" t="s">
        <v>775</v>
      </c>
      <c r="C106" s="4" t="s">
        <v>419</v>
      </c>
      <c r="D106" s="4" t="s">
        <v>359</v>
      </c>
      <c r="E106" s="4" t="s">
        <v>715</v>
      </c>
      <c r="F106" s="4" t="s">
        <v>715</v>
      </c>
      <c r="G106" s="4" t="n">
        <v>25</v>
      </c>
      <c r="H106" s="4" t="s">
        <v>359</v>
      </c>
      <c r="I106" s="22" t="n">
        <v>0.39</v>
      </c>
      <c r="J106" s="4" t="n">
        <v>349</v>
      </c>
      <c r="K106" s="4" t="n">
        <v>187</v>
      </c>
      <c r="L106" s="23" t="n">
        <f aca="false">IF(J106&gt;=5,K106/J106,"too few builds")</f>
        <v>0.535816618911175</v>
      </c>
      <c r="M106" s="22" t="n">
        <v>0</v>
      </c>
      <c r="N106" s="22" t="n">
        <v>0</v>
      </c>
      <c r="O106" s="4"/>
      <c r="P106" s="4"/>
      <c r="Q106" s="4"/>
      <c r="R106" s="4" t="s">
        <v>776</v>
      </c>
    </row>
    <row r="107" customFormat="false" ht="15" hidden="false" customHeight="false" outlineLevel="0" collapsed="false">
      <c r="A107" s="4" t="s">
        <v>777</v>
      </c>
      <c r="B107" s="4" t="s">
        <v>778</v>
      </c>
      <c r="C107" s="4" t="s">
        <v>379</v>
      </c>
      <c r="D107" s="4" t="s">
        <v>359</v>
      </c>
      <c r="E107" s="4" t="s">
        <v>779</v>
      </c>
      <c r="F107" s="4" t="s">
        <v>780</v>
      </c>
      <c r="G107" s="4" t="n">
        <v>55</v>
      </c>
      <c r="H107" s="4" t="s">
        <v>359</v>
      </c>
      <c r="I107" s="22" t="n">
        <v>0.29</v>
      </c>
      <c r="J107" s="4" t="n">
        <v>167</v>
      </c>
      <c r="K107" s="4" t="n">
        <v>157</v>
      </c>
      <c r="L107" s="23" t="n">
        <f aca="false">IF(J107&gt;=5,K107/J107,"too few builds")</f>
        <v>0.940119760479042</v>
      </c>
      <c r="M107" s="22" t="n">
        <v>0</v>
      </c>
      <c r="N107" s="22" t="n">
        <v>0</v>
      </c>
      <c r="O107" s="4"/>
      <c r="P107" s="4"/>
      <c r="Q107" s="4"/>
      <c r="R107" s="4" t="s">
        <v>781</v>
      </c>
    </row>
    <row r="108" customFormat="false" ht="15" hidden="false" customHeight="false" outlineLevel="0" collapsed="false">
      <c r="A108" s="4" t="s">
        <v>782</v>
      </c>
      <c r="B108" s="4" t="s">
        <v>783</v>
      </c>
      <c r="C108" s="4" t="s">
        <v>379</v>
      </c>
      <c r="D108" s="4" t="s">
        <v>359</v>
      </c>
      <c r="E108" s="4" t="s">
        <v>784</v>
      </c>
      <c r="F108" s="4" t="s">
        <v>784</v>
      </c>
      <c r="G108" s="4" t="n">
        <v>35</v>
      </c>
      <c r="H108" s="4" t="s">
        <v>359</v>
      </c>
      <c r="I108" s="22" t="n">
        <v>0.39</v>
      </c>
      <c r="J108" s="4" t="n">
        <v>319</v>
      </c>
      <c r="K108" s="4" t="n">
        <v>184</v>
      </c>
      <c r="L108" s="23" t="n">
        <f aca="false">IF(J108&gt;=5,K108/J108,"too few builds")</f>
        <v>0.576802507836991</v>
      </c>
      <c r="M108" s="22" t="n">
        <v>0.1</v>
      </c>
      <c r="N108" s="22" t="n">
        <v>0</v>
      </c>
      <c r="O108" s="4"/>
      <c r="P108" s="4"/>
      <c r="Q108" s="4"/>
      <c r="R108" s="4" t="s">
        <v>785</v>
      </c>
    </row>
    <row r="109" customFormat="false" ht="15" hidden="false" customHeight="false" outlineLevel="0" collapsed="false">
      <c r="A109" s="4" t="s">
        <v>786</v>
      </c>
      <c r="B109" s="4" t="s">
        <v>432</v>
      </c>
      <c r="C109" s="4" t="s">
        <v>379</v>
      </c>
      <c r="D109" s="4" t="s">
        <v>369</v>
      </c>
      <c r="E109" s="4" t="s">
        <v>787</v>
      </c>
      <c r="F109" s="4" t="s">
        <v>787</v>
      </c>
      <c r="G109" s="4" t="n">
        <v>75</v>
      </c>
      <c r="H109" s="4" t="s">
        <v>359</v>
      </c>
      <c r="I109" s="22" t="n">
        <v>0.05</v>
      </c>
      <c r="J109" s="4" t="n">
        <v>67</v>
      </c>
      <c r="K109" s="4" t="n">
        <v>28</v>
      </c>
      <c r="L109" s="23" t="n">
        <f aca="false">IF(J109&gt;=5,K109/J109,"too few builds")</f>
        <v>0.417910447761194</v>
      </c>
      <c r="M109" s="22" t="n">
        <v>0</v>
      </c>
      <c r="N109" s="22" t="n">
        <v>0</v>
      </c>
      <c r="O109" s="4"/>
      <c r="P109" s="4"/>
      <c r="Q109" s="4"/>
      <c r="R109" s="4" t="s">
        <v>788</v>
      </c>
    </row>
    <row r="110" customFormat="false" ht="15" hidden="false" customHeight="false" outlineLevel="0" collapsed="false">
      <c r="A110" s="4" t="s">
        <v>789</v>
      </c>
      <c r="B110" s="4" t="s">
        <v>778</v>
      </c>
      <c r="C110" s="4" t="s">
        <v>379</v>
      </c>
      <c r="D110" s="4" t="s">
        <v>359</v>
      </c>
      <c r="E110" s="4" t="s">
        <v>790</v>
      </c>
      <c r="F110" s="4" t="s">
        <v>790</v>
      </c>
      <c r="G110" s="4" t="n">
        <v>25</v>
      </c>
      <c r="H110" s="4" t="s">
        <v>359</v>
      </c>
      <c r="I110" s="22" t="n">
        <v>0.66</v>
      </c>
      <c r="J110" s="4" t="n">
        <v>347</v>
      </c>
      <c r="K110" s="4" t="n">
        <v>330</v>
      </c>
      <c r="L110" s="23" t="n">
        <f aca="false">IF(J110&gt;=5,K110/J110,"too few builds")</f>
        <v>0.951008645533141</v>
      </c>
      <c r="M110" s="22" t="n">
        <v>0</v>
      </c>
      <c r="N110" s="22" t="n">
        <v>0</v>
      </c>
      <c r="O110" s="4"/>
      <c r="P110" s="4"/>
      <c r="Q110" s="4"/>
      <c r="R110" s="4" t="s">
        <v>791</v>
      </c>
    </row>
    <row r="111" customFormat="false" ht="15" hidden="false" customHeight="false" outlineLevel="0" collapsed="false">
      <c r="A111" s="4" t="s">
        <v>792</v>
      </c>
      <c r="B111" s="4" t="s">
        <v>793</v>
      </c>
      <c r="C111" s="4" t="s">
        <v>419</v>
      </c>
      <c r="D111" s="4" t="s">
        <v>359</v>
      </c>
      <c r="E111" s="4" t="s">
        <v>794</v>
      </c>
      <c r="F111" s="4" t="s">
        <v>794</v>
      </c>
      <c r="G111" s="4" t="n">
        <v>65</v>
      </c>
      <c r="H111" s="4" t="s">
        <v>359</v>
      </c>
      <c r="I111" s="22" t="n">
        <v>0.18</v>
      </c>
      <c r="J111" s="4" t="n">
        <v>85</v>
      </c>
      <c r="K111" s="4" t="n">
        <v>76</v>
      </c>
      <c r="L111" s="23" t="n">
        <f aca="false">IF(J111&gt;=5,K111/J111,"too few builds")</f>
        <v>0.894117647058824</v>
      </c>
      <c r="M111" s="22" t="n">
        <v>0</v>
      </c>
      <c r="N111" s="22" t="n">
        <v>0.1</v>
      </c>
      <c r="O111" s="4"/>
      <c r="P111" s="4"/>
      <c r="Q111" s="4"/>
      <c r="R111" s="4" t="s">
        <v>795</v>
      </c>
    </row>
    <row r="112" customFormat="false" ht="15" hidden="false" customHeight="false" outlineLevel="0" collapsed="false">
      <c r="A112" s="4" t="s">
        <v>796</v>
      </c>
      <c r="B112" s="4" t="s">
        <v>797</v>
      </c>
      <c r="C112" s="4" t="s">
        <v>332</v>
      </c>
      <c r="D112" s="4" t="s">
        <v>369</v>
      </c>
      <c r="E112" s="4" t="s">
        <v>798</v>
      </c>
      <c r="F112" s="4" t="s">
        <v>371</v>
      </c>
      <c r="G112" s="4" t="n">
        <v>0</v>
      </c>
      <c r="H112" s="4" t="s">
        <v>369</v>
      </c>
      <c r="I112" s="22" t="n">
        <v>0</v>
      </c>
      <c r="J112" s="4" t="n">
        <v>16</v>
      </c>
      <c r="K112" s="4" t="n">
        <v>7</v>
      </c>
      <c r="L112" s="23" t="n">
        <f aca="false">IF(J112&gt;=5,K112/J112,"too few builds")</f>
        <v>0.4375</v>
      </c>
      <c r="M112" s="22" t="n">
        <v>0</v>
      </c>
      <c r="N112" s="22" t="n">
        <v>0</v>
      </c>
      <c r="O112" s="4"/>
      <c r="P112" s="4"/>
      <c r="Q112" s="4"/>
      <c r="R112" s="4" t="s">
        <v>799</v>
      </c>
    </row>
    <row r="113" customFormat="false" ht="15" hidden="false" customHeight="false" outlineLevel="0" collapsed="false">
      <c r="A113" s="4" t="s">
        <v>800</v>
      </c>
      <c r="B113" s="4" t="s">
        <v>491</v>
      </c>
      <c r="C113" s="4" t="s">
        <v>379</v>
      </c>
      <c r="D113" s="4" t="s">
        <v>359</v>
      </c>
      <c r="E113" s="4" t="s">
        <v>801</v>
      </c>
      <c r="F113" s="4" t="s">
        <v>801</v>
      </c>
      <c r="G113" s="4" t="n">
        <v>25</v>
      </c>
      <c r="H113" s="4" t="s">
        <v>359</v>
      </c>
      <c r="I113" s="22" t="n">
        <v>0</v>
      </c>
      <c r="J113" s="4" t="n">
        <v>314</v>
      </c>
      <c r="K113" s="4" t="n">
        <v>8</v>
      </c>
      <c r="L113" s="23" t="n">
        <f aca="false">IF(J113&gt;=5,K113/J113,"too few builds")</f>
        <v>0.0254777070063694</v>
      </c>
      <c r="M113" s="22" t="n">
        <v>0</v>
      </c>
      <c r="N113" s="22" t="n">
        <v>0</v>
      </c>
      <c r="O113" s="4"/>
      <c r="P113" s="4"/>
      <c r="Q113" s="4"/>
      <c r="R113" s="4"/>
    </row>
    <row r="114" customFormat="false" ht="15" hidden="false" customHeight="false" outlineLevel="0" collapsed="false">
      <c r="A114" s="4" t="s">
        <v>802</v>
      </c>
      <c r="B114" s="4" t="s">
        <v>803</v>
      </c>
      <c r="C114" s="4" t="s">
        <v>379</v>
      </c>
      <c r="D114" s="4" t="s">
        <v>359</v>
      </c>
      <c r="E114" s="4" t="s">
        <v>804</v>
      </c>
      <c r="F114" s="4" t="s">
        <v>804</v>
      </c>
      <c r="G114" s="4" t="n">
        <v>30</v>
      </c>
      <c r="H114" s="4" t="s">
        <v>359</v>
      </c>
      <c r="I114" s="22" t="n">
        <v>0.11</v>
      </c>
      <c r="J114" s="4" t="n">
        <v>106</v>
      </c>
      <c r="K114" s="4" t="n">
        <v>50</v>
      </c>
      <c r="L114" s="23" t="n">
        <f aca="false">IF(J114&gt;=5,K114/J114,"too few builds")</f>
        <v>0.471698113207547</v>
      </c>
      <c r="M114" s="22" t="n">
        <v>0</v>
      </c>
      <c r="N114" s="22" t="n">
        <v>0</v>
      </c>
      <c r="O114" s="4"/>
      <c r="P114" s="4"/>
      <c r="Q114" s="4"/>
      <c r="R114" s="4" t="s">
        <v>805</v>
      </c>
    </row>
    <row r="115" customFormat="false" ht="15" hidden="false" customHeight="false" outlineLevel="0" collapsed="false">
      <c r="A115" s="4" t="s">
        <v>806</v>
      </c>
      <c r="B115" s="4" t="s">
        <v>807</v>
      </c>
      <c r="C115" s="4" t="s">
        <v>358</v>
      </c>
      <c r="D115" s="4" t="s">
        <v>359</v>
      </c>
      <c r="E115" s="4" t="s">
        <v>808</v>
      </c>
      <c r="F115" s="4" t="s">
        <v>809</v>
      </c>
      <c r="G115" s="4" t="n">
        <v>210</v>
      </c>
      <c r="H115" s="4" t="s">
        <v>359</v>
      </c>
      <c r="I115" s="22" t="n">
        <v>0</v>
      </c>
      <c r="J115" s="4" t="n">
        <v>5</v>
      </c>
      <c r="K115" s="4" t="n">
        <v>5</v>
      </c>
      <c r="L115" s="23" t="n">
        <f aca="false">IF(J115&gt;=5,K115/J115,"too few builds")</f>
        <v>1</v>
      </c>
      <c r="M115" s="22" t="n">
        <v>0</v>
      </c>
      <c r="N115" s="22" t="n">
        <v>0</v>
      </c>
      <c r="O115" s="4"/>
      <c r="P115" s="4"/>
      <c r="Q115" s="4"/>
      <c r="R115" s="4" t="s">
        <v>810</v>
      </c>
    </row>
    <row r="116" customFormat="false" ht="15" hidden="false" customHeight="false" outlineLevel="0" collapsed="false">
      <c r="A116" s="4" t="s">
        <v>811</v>
      </c>
      <c r="B116" s="4" t="s">
        <v>812</v>
      </c>
      <c r="C116" s="4" t="s">
        <v>419</v>
      </c>
      <c r="D116" s="4" t="s">
        <v>359</v>
      </c>
      <c r="E116" s="4" t="s">
        <v>813</v>
      </c>
      <c r="F116" s="4" t="s">
        <v>371</v>
      </c>
      <c r="G116" s="4" t="n">
        <v>0</v>
      </c>
      <c r="H116" s="4" t="s">
        <v>369</v>
      </c>
      <c r="I116" s="22" t="n">
        <v>0.65</v>
      </c>
      <c r="J116" s="4" t="n">
        <v>500</v>
      </c>
      <c r="K116" s="4" t="n">
        <v>309</v>
      </c>
      <c r="L116" s="23" t="n">
        <f aca="false">IF(J116&gt;=5,K116/J116,"too few builds")</f>
        <v>0.618</v>
      </c>
      <c r="M116" s="22" t="n">
        <v>0</v>
      </c>
      <c r="N116" s="22" t="n">
        <v>0</v>
      </c>
      <c r="O116" s="4"/>
      <c r="P116" s="4"/>
      <c r="Q116" s="4"/>
      <c r="R116" s="4" t="s">
        <v>814</v>
      </c>
    </row>
    <row r="117" customFormat="false" ht="15" hidden="false" customHeight="false" outlineLevel="0" collapsed="false">
      <c r="A117" s="4" t="s">
        <v>815</v>
      </c>
      <c r="B117" s="4" t="s">
        <v>565</v>
      </c>
      <c r="C117" s="4" t="s">
        <v>379</v>
      </c>
      <c r="D117" s="4" t="s">
        <v>359</v>
      </c>
      <c r="E117" s="4" t="s">
        <v>752</v>
      </c>
      <c r="F117" s="4" t="s">
        <v>753</v>
      </c>
      <c r="G117" s="4" t="n">
        <v>50</v>
      </c>
      <c r="H117" s="4" t="s">
        <v>359</v>
      </c>
      <c r="I117" s="22" t="n">
        <v>0.06</v>
      </c>
      <c r="J117" s="4" t="n">
        <v>74</v>
      </c>
      <c r="K117" s="4" t="n">
        <v>27</v>
      </c>
      <c r="L117" s="23" t="n">
        <f aca="false">IF(J117&gt;=5,K117/J117,"too few builds")</f>
        <v>0.364864864864865</v>
      </c>
      <c r="M117" s="22" t="n">
        <v>0</v>
      </c>
      <c r="N117" s="22" t="n">
        <v>0</v>
      </c>
      <c r="O117" s="4"/>
      <c r="P117" s="4"/>
      <c r="Q117" s="4"/>
      <c r="R117" s="4" t="s">
        <v>816</v>
      </c>
    </row>
    <row r="118" customFormat="false" ht="15" hidden="false" customHeight="false" outlineLevel="0" collapsed="false">
      <c r="A118" s="4" t="s">
        <v>817</v>
      </c>
      <c r="B118" s="4" t="s">
        <v>634</v>
      </c>
      <c r="C118" s="4" t="s">
        <v>379</v>
      </c>
      <c r="D118" s="4" t="s">
        <v>359</v>
      </c>
      <c r="E118" s="4" t="s">
        <v>818</v>
      </c>
      <c r="F118" s="4" t="s">
        <v>818</v>
      </c>
      <c r="G118" s="4" t="n">
        <v>80</v>
      </c>
      <c r="H118" s="4" t="s">
        <v>359</v>
      </c>
      <c r="I118" s="22" t="n">
        <v>0</v>
      </c>
      <c r="J118" s="4" t="n">
        <v>15</v>
      </c>
      <c r="K118" s="4" t="n">
        <v>11</v>
      </c>
      <c r="L118" s="23" t="n">
        <f aca="false">IF(J118&gt;=5,K118/J118,"too few builds")</f>
        <v>0.733333333333333</v>
      </c>
      <c r="M118" s="22" t="n">
        <v>0</v>
      </c>
      <c r="N118" s="22" t="n">
        <v>0</v>
      </c>
      <c r="O118" s="4"/>
      <c r="P118" s="4"/>
      <c r="Q118" s="4"/>
      <c r="R118" s="4" t="s">
        <v>819</v>
      </c>
    </row>
    <row r="119" customFormat="false" ht="15" hidden="false" customHeight="false" outlineLevel="0" collapsed="false">
      <c r="A119" s="4" t="s">
        <v>820</v>
      </c>
      <c r="B119" s="4" t="s">
        <v>393</v>
      </c>
      <c r="C119" s="4" t="s">
        <v>379</v>
      </c>
      <c r="D119" s="4" t="s">
        <v>359</v>
      </c>
      <c r="E119" s="4" t="s">
        <v>669</v>
      </c>
      <c r="F119" s="4" t="s">
        <v>669</v>
      </c>
      <c r="G119" s="4" t="n">
        <v>25</v>
      </c>
      <c r="H119" s="4" t="s">
        <v>359</v>
      </c>
      <c r="I119" s="22" t="n">
        <v>0.09</v>
      </c>
      <c r="J119" s="4" t="n">
        <v>106</v>
      </c>
      <c r="K119" s="4" t="n">
        <v>36</v>
      </c>
      <c r="L119" s="23" t="n">
        <f aca="false">IF(J119&gt;=5,K119/J119,"too few builds")</f>
        <v>0.339622641509434</v>
      </c>
      <c r="M119" s="22" t="n">
        <v>0</v>
      </c>
      <c r="N119" s="22" t="n">
        <v>0</v>
      </c>
      <c r="O119" s="4"/>
      <c r="P119" s="4"/>
      <c r="Q119" s="4"/>
      <c r="R119" s="4" t="s">
        <v>821</v>
      </c>
    </row>
    <row r="120" customFormat="false" ht="15" hidden="false" customHeight="false" outlineLevel="0" collapsed="false">
      <c r="A120" s="4" t="s">
        <v>822</v>
      </c>
      <c r="B120" s="4" t="s">
        <v>823</v>
      </c>
      <c r="C120" s="4" t="s">
        <v>358</v>
      </c>
      <c r="D120" s="4" t="s">
        <v>359</v>
      </c>
      <c r="E120" s="4" t="s">
        <v>824</v>
      </c>
      <c r="F120" s="4" t="s">
        <v>824</v>
      </c>
      <c r="G120" s="4" t="n">
        <v>100</v>
      </c>
      <c r="H120" s="4" t="s">
        <v>359</v>
      </c>
      <c r="I120" s="22" t="n">
        <v>0.08</v>
      </c>
      <c r="J120" s="4" t="n">
        <v>46</v>
      </c>
      <c r="K120" s="4" t="n">
        <v>41</v>
      </c>
      <c r="L120" s="23" t="n">
        <f aca="false">IF(J120&gt;=5,K120/J120,"too few builds")</f>
        <v>0.891304347826087</v>
      </c>
      <c r="M120" s="22" t="n">
        <v>0</v>
      </c>
      <c r="N120" s="22" t="n">
        <v>0</v>
      </c>
      <c r="O120" s="4"/>
      <c r="P120" s="4"/>
      <c r="Q120" s="4"/>
      <c r="R120" s="4" t="s">
        <v>825</v>
      </c>
    </row>
    <row r="121" customFormat="false" ht="15" hidden="false" customHeight="false" outlineLevel="0" collapsed="false">
      <c r="A121" s="4" t="s">
        <v>826</v>
      </c>
      <c r="B121" s="4" t="s">
        <v>827</v>
      </c>
      <c r="C121" s="4" t="s">
        <v>379</v>
      </c>
      <c r="D121" s="4" t="s">
        <v>359</v>
      </c>
      <c r="E121" s="4" t="s">
        <v>523</v>
      </c>
      <c r="F121" s="4" t="s">
        <v>371</v>
      </c>
      <c r="G121" s="4" t="n">
        <v>0</v>
      </c>
      <c r="H121" s="4" t="s">
        <v>369</v>
      </c>
      <c r="I121" s="22" t="n">
        <v>0.1</v>
      </c>
      <c r="J121" s="4" t="n">
        <v>500</v>
      </c>
      <c r="K121" s="4" t="n">
        <v>40</v>
      </c>
      <c r="L121" s="23" t="n">
        <f aca="false">IF(J121&gt;=5,K121/J121,"too few builds")</f>
        <v>0.08</v>
      </c>
      <c r="M121" s="22" t="n">
        <v>0</v>
      </c>
      <c r="N121" s="22" t="n">
        <v>0</v>
      </c>
      <c r="O121" s="4"/>
      <c r="P121" s="4"/>
      <c r="Q121" s="4"/>
      <c r="R121" s="4" t="s">
        <v>828</v>
      </c>
    </row>
    <row r="122" customFormat="false" ht="15" hidden="false" customHeight="false" outlineLevel="0" collapsed="false">
      <c r="A122" s="4" t="s">
        <v>829</v>
      </c>
      <c r="B122" s="4" t="s">
        <v>830</v>
      </c>
      <c r="C122" s="4" t="s">
        <v>379</v>
      </c>
      <c r="D122" s="4" t="s">
        <v>359</v>
      </c>
      <c r="E122" s="4" t="s">
        <v>831</v>
      </c>
      <c r="F122" s="4" t="s">
        <v>787</v>
      </c>
      <c r="G122" s="4" t="n">
        <v>75</v>
      </c>
      <c r="H122" s="4" t="s">
        <v>359</v>
      </c>
      <c r="I122" s="22" t="n">
        <v>0.05</v>
      </c>
      <c r="J122" s="4" t="n">
        <v>67</v>
      </c>
      <c r="K122" s="4" t="n">
        <v>26</v>
      </c>
      <c r="L122" s="23" t="n">
        <f aca="false">IF(J122&gt;=5,K122/J122,"too few builds")</f>
        <v>0.388059701492537</v>
      </c>
      <c r="M122" s="22" t="n">
        <v>0</v>
      </c>
      <c r="N122" s="22" t="n">
        <v>0</v>
      </c>
      <c r="O122" s="4"/>
      <c r="P122" s="4"/>
      <c r="Q122" s="4"/>
      <c r="R122" s="4" t="s">
        <v>832</v>
      </c>
    </row>
    <row r="123" customFormat="false" ht="15" hidden="false" customHeight="false" outlineLevel="0" collapsed="false">
      <c r="A123" s="4" t="s">
        <v>833</v>
      </c>
      <c r="B123" s="4" t="s">
        <v>830</v>
      </c>
      <c r="C123" s="4" t="s">
        <v>358</v>
      </c>
      <c r="D123" s="4" t="s">
        <v>359</v>
      </c>
      <c r="E123" s="4" t="s">
        <v>834</v>
      </c>
      <c r="F123" s="4" t="s">
        <v>835</v>
      </c>
      <c r="G123" s="4" t="n">
        <v>80</v>
      </c>
      <c r="H123" s="4" t="s">
        <v>359</v>
      </c>
      <c r="I123" s="22" t="n">
        <v>0.03</v>
      </c>
      <c r="J123" s="4" t="n">
        <v>44</v>
      </c>
      <c r="K123" s="4" t="n">
        <v>18</v>
      </c>
      <c r="L123" s="23" t="n">
        <f aca="false">IF(J123&gt;=5,K123/J123,"too few builds")</f>
        <v>0.409090909090909</v>
      </c>
      <c r="M123" s="22" t="n">
        <v>0</v>
      </c>
      <c r="N123" s="22" t="n">
        <v>0</v>
      </c>
      <c r="O123" s="4"/>
      <c r="P123" s="4"/>
      <c r="Q123" s="4"/>
      <c r="R123" s="4" t="s">
        <v>836</v>
      </c>
    </row>
    <row r="124" customFormat="false" ht="15" hidden="false" customHeight="false" outlineLevel="0" collapsed="false">
      <c r="A124" s="4" t="s">
        <v>837</v>
      </c>
      <c r="B124" s="4" t="s">
        <v>838</v>
      </c>
      <c r="C124" s="4" t="s">
        <v>419</v>
      </c>
      <c r="D124" s="4" t="s">
        <v>359</v>
      </c>
      <c r="E124" s="4" t="s">
        <v>839</v>
      </c>
      <c r="F124" s="4" t="s">
        <v>839</v>
      </c>
      <c r="G124" s="4" t="n">
        <v>35</v>
      </c>
      <c r="H124" s="4" t="s">
        <v>359</v>
      </c>
      <c r="I124" s="22" t="n">
        <v>0.22</v>
      </c>
      <c r="J124" s="4" t="n">
        <v>336</v>
      </c>
      <c r="K124" s="4" t="n">
        <v>102</v>
      </c>
      <c r="L124" s="23" t="n">
        <f aca="false">IF(J124&gt;=5,K124/J124,"too few builds")</f>
        <v>0.303571428571429</v>
      </c>
      <c r="M124" s="22" t="n">
        <v>0</v>
      </c>
      <c r="N124" s="22" t="n">
        <v>0</v>
      </c>
      <c r="O124" s="4"/>
      <c r="P124" s="4" t="s">
        <v>840</v>
      </c>
      <c r="Q124" s="4"/>
      <c r="R124" s="4" t="s">
        <v>841</v>
      </c>
    </row>
    <row r="125" customFormat="false" ht="15" hidden="false" customHeight="false" outlineLevel="0" collapsed="false">
      <c r="A125" s="4" t="s">
        <v>842</v>
      </c>
      <c r="B125" s="4" t="s">
        <v>843</v>
      </c>
      <c r="C125" s="4" t="s">
        <v>379</v>
      </c>
      <c r="D125" s="4" t="s">
        <v>359</v>
      </c>
      <c r="E125" s="4" t="s">
        <v>844</v>
      </c>
      <c r="F125" s="4" t="s">
        <v>845</v>
      </c>
      <c r="G125" s="4" t="n">
        <v>55</v>
      </c>
      <c r="H125" s="4" t="s">
        <v>359</v>
      </c>
      <c r="I125" s="22" t="n">
        <v>0</v>
      </c>
      <c r="J125" s="4" t="n">
        <v>91</v>
      </c>
      <c r="K125" s="4" t="n">
        <v>8</v>
      </c>
      <c r="L125" s="23" t="n">
        <f aca="false">IF(J125&gt;=5,K125/J125,"too few builds")</f>
        <v>0.0879120879120879</v>
      </c>
      <c r="M125" s="22" t="n">
        <v>0</v>
      </c>
      <c r="N125" s="22" t="n">
        <v>0</v>
      </c>
      <c r="O125" s="4"/>
      <c r="P125" s="4"/>
      <c r="Q125" s="4"/>
      <c r="R125" s="4" t="s">
        <v>846</v>
      </c>
    </row>
    <row r="126" customFormat="false" ht="15" hidden="false" customHeight="false" outlineLevel="0" collapsed="false">
      <c r="A126" s="4" t="s">
        <v>847</v>
      </c>
      <c r="B126" s="4" t="s">
        <v>838</v>
      </c>
      <c r="C126" s="4" t="s">
        <v>379</v>
      </c>
      <c r="D126" s="4" t="s">
        <v>359</v>
      </c>
      <c r="E126" s="4" t="s">
        <v>848</v>
      </c>
      <c r="F126" s="4" t="s">
        <v>848</v>
      </c>
      <c r="G126" s="4" t="n">
        <v>15</v>
      </c>
      <c r="H126" s="4" t="s">
        <v>359</v>
      </c>
      <c r="I126" s="22" t="n">
        <v>0.07</v>
      </c>
      <c r="J126" s="4" t="n">
        <v>383</v>
      </c>
      <c r="K126" s="4" t="n">
        <v>33</v>
      </c>
      <c r="L126" s="23" t="n">
        <f aca="false">IF(J126&gt;=5,K126/J126,"too few builds")</f>
        <v>0.0861618798955614</v>
      </c>
      <c r="M126" s="22" t="n">
        <v>0</v>
      </c>
      <c r="N126" s="22" t="n">
        <v>0</v>
      </c>
      <c r="O126" s="4"/>
      <c r="P126" s="4" t="s">
        <v>849</v>
      </c>
      <c r="Q126" s="4"/>
      <c r="R126" s="4" t="s">
        <v>850</v>
      </c>
    </row>
    <row r="127" customFormat="false" ht="15" hidden="false" customHeight="false" outlineLevel="0" collapsed="false">
      <c r="A127" s="4" t="s">
        <v>851</v>
      </c>
      <c r="B127" s="4" t="s">
        <v>803</v>
      </c>
      <c r="C127" s="4" t="s">
        <v>379</v>
      </c>
      <c r="D127" s="4" t="s">
        <v>359</v>
      </c>
      <c r="E127" s="4" t="s">
        <v>852</v>
      </c>
      <c r="F127" s="4" t="s">
        <v>852</v>
      </c>
      <c r="G127" s="4" t="n">
        <v>35</v>
      </c>
      <c r="H127" s="4" t="s">
        <v>359</v>
      </c>
      <c r="I127" s="22" t="n">
        <v>0</v>
      </c>
      <c r="J127" s="4" t="n">
        <v>75</v>
      </c>
      <c r="K127" s="4" t="n">
        <v>10</v>
      </c>
      <c r="L127" s="23" t="n">
        <f aca="false">IF(J127&gt;=5,K127/J127,"too few builds")</f>
        <v>0.133333333333333</v>
      </c>
      <c r="M127" s="22" t="n">
        <v>0</v>
      </c>
      <c r="N127" s="22" t="n">
        <v>0</v>
      </c>
      <c r="O127" s="4"/>
      <c r="P127" s="4"/>
      <c r="Q127" s="4"/>
      <c r="R127" s="4" t="s">
        <v>853</v>
      </c>
    </row>
    <row r="128" customFormat="false" ht="15" hidden="false" customHeight="false" outlineLevel="0" collapsed="false">
      <c r="A128" s="4" t="s">
        <v>854</v>
      </c>
      <c r="B128" s="4" t="s">
        <v>855</v>
      </c>
      <c r="C128" s="4" t="s">
        <v>358</v>
      </c>
      <c r="D128" s="4" t="s">
        <v>359</v>
      </c>
      <c r="E128" s="4" t="s">
        <v>856</v>
      </c>
      <c r="F128" s="4" t="s">
        <v>857</v>
      </c>
      <c r="G128" s="4" t="n">
        <v>50</v>
      </c>
      <c r="H128" s="4" t="s">
        <v>359</v>
      </c>
      <c r="I128" s="22" t="n">
        <v>0.46</v>
      </c>
      <c r="J128" s="4" t="n">
        <v>385</v>
      </c>
      <c r="K128" s="4" t="n">
        <v>229</v>
      </c>
      <c r="L128" s="23" t="n">
        <f aca="false">IF(J128&gt;=5,K128/J128,"too few builds")</f>
        <v>0.594805194805195</v>
      </c>
      <c r="M128" s="22" t="n">
        <v>0</v>
      </c>
      <c r="N128" s="22" t="n">
        <v>0</v>
      </c>
      <c r="O128" s="4"/>
      <c r="P128" s="4"/>
      <c r="Q128" s="4"/>
      <c r="R128" s="4" t="s">
        <v>858</v>
      </c>
    </row>
    <row r="129" customFormat="false" ht="15" hidden="false" customHeight="false" outlineLevel="0" collapsed="false">
      <c r="A129" s="4" t="s">
        <v>859</v>
      </c>
      <c r="B129" s="4" t="s">
        <v>860</v>
      </c>
      <c r="C129" s="4" t="s">
        <v>379</v>
      </c>
      <c r="D129" s="4" t="s">
        <v>359</v>
      </c>
      <c r="E129" s="4" t="s">
        <v>585</v>
      </c>
      <c r="F129" s="4" t="s">
        <v>371</v>
      </c>
      <c r="G129" s="4" t="n">
        <v>0</v>
      </c>
      <c r="H129" s="4" t="s">
        <v>369</v>
      </c>
      <c r="I129" s="22" t="n">
        <v>0.06</v>
      </c>
      <c r="J129" s="4" t="n">
        <v>500</v>
      </c>
      <c r="K129" s="4" t="n">
        <v>31</v>
      </c>
      <c r="L129" s="23" t="n">
        <f aca="false">IF(J129&gt;=5,K129/J129,"too few builds")</f>
        <v>0.062</v>
      </c>
      <c r="M129" s="22" t="n">
        <v>0</v>
      </c>
      <c r="N129" s="22" t="n">
        <v>0</v>
      </c>
      <c r="O129" s="4"/>
      <c r="P129" s="4"/>
      <c r="Q129" s="4"/>
      <c r="R129" s="4" t="s">
        <v>861</v>
      </c>
    </row>
    <row r="130" customFormat="false" ht="15" hidden="false" customHeight="false" outlineLevel="0" collapsed="false">
      <c r="A130" s="4" t="s">
        <v>862</v>
      </c>
      <c r="B130" s="4" t="s">
        <v>863</v>
      </c>
      <c r="C130" s="4" t="s">
        <v>379</v>
      </c>
      <c r="D130" s="4" t="s">
        <v>359</v>
      </c>
      <c r="E130" s="4" t="s">
        <v>864</v>
      </c>
      <c r="F130" s="4" t="s">
        <v>474</v>
      </c>
      <c r="G130" s="4" t="n">
        <v>75</v>
      </c>
      <c r="H130" s="4" t="s">
        <v>359</v>
      </c>
      <c r="I130" s="22" t="n">
        <v>0.04</v>
      </c>
      <c r="J130" s="4" t="n">
        <v>66</v>
      </c>
      <c r="K130" s="4" t="n">
        <v>20</v>
      </c>
      <c r="L130" s="23" t="n">
        <f aca="false">IF(J130&gt;=5,K130/J130,"too few builds")</f>
        <v>0.303030303030303</v>
      </c>
      <c r="M130" s="22" t="n">
        <v>0</v>
      </c>
      <c r="N130" s="22" t="n">
        <v>0</v>
      </c>
      <c r="O130" s="4"/>
      <c r="P130" s="4"/>
      <c r="Q130" s="4"/>
      <c r="R130" s="4" t="s">
        <v>865</v>
      </c>
    </row>
    <row r="131" customFormat="false" ht="15" hidden="false" customHeight="false" outlineLevel="0" collapsed="false">
      <c r="A131" s="4" t="s">
        <v>866</v>
      </c>
      <c r="B131" s="4" t="s">
        <v>692</v>
      </c>
      <c r="C131" s="4" t="s">
        <v>379</v>
      </c>
      <c r="D131" s="4" t="s">
        <v>359</v>
      </c>
      <c r="E131" s="4" t="s">
        <v>867</v>
      </c>
      <c r="F131" s="4" t="s">
        <v>868</v>
      </c>
      <c r="G131" s="4" t="n">
        <v>10</v>
      </c>
      <c r="H131" s="4" t="s">
        <v>359</v>
      </c>
      <c r="I131" s="22" t="n">
        <v>0.21</v>
      </c>
      <c r="J131" s="4" t="n">
        <v>409</v>
      </c>
      <c r="K131" s="4" t="n">
        <v>102</v>
      </c>
      <c r="L131" s="23" t="n">
        <f aca="false">IF(J131&gt;=5,K131/J131,"too few builds")</f>
        <v>0.249388753056235</v>
      </c>
      <c r="M131" s="22" t="n">
        <v>0</v>
      </c>
      <c r="N131" s="22" t="n">
        <v>0</v>
      </c>
      <c r="O131" s="4"/>
      <c r="P131" s="4"/>
      <c r="Q131" s="4"/>
      <c r="R131" s="4" t="s">
        <v>869</v>
      </c>
    </row>
    <row r="132" customFormat="false" ht="15" hidden="false" customHeight="false" outlineLevel="0" collapsed="false">
      <c r="A132" s="4" t="s">
        <v>870</v>
      </c>
      <c r="B132" s="4" t="s">
        <v>871</v>
      </c>
      <c r="C132" s="4" t="s">
        <v>379</v>
      </c>
      <c r="D132" s="4" t="s">
        <v>359</v>
      </c>
      <c r="E132" s="4" t="s">
        <v>872</v>
      </c>
      <c r="F132" s="4" t="s">
        <v>873</v>
      </c>
      <c r="G132" s="4" t="n">
        <v>80</v>
      </c>
      <c r="H132" s="4" t="s">
        <v>359</v>
      </c>
      <c r="I132" s="22" t="n">
        <v>0</v>
      </c>
      <c r="J132" s="4" t="n">
        <v>36</v>
      </c>
      <c r="K132" s="4" t="n">
        <v>4</v>
      </c>
      <c r="L132" s="23" t="n">
        <f aca="false">IF(J132&gt;=5,K132/J132,"too few builds")</f>
        <v>0.111111111111111</v>
      </c>
      <c r="M132" s="22" t="n">
        <v>0</v>
      </c>
      <c r="N132" s="22" t="n">
        <v>0</v>
      </c>
      <c r="O132" s="4"/>
      <c r="P132" s="4"/>
      <c r="Q132" s="4"/>
      <c r="R132" s="4" t="s">
        <v>874</v>
      </c>
    </row>
    <row r="133" customFormat="false" ht="15" hidden="false" customHeight="false" outlineLevel="0" collapsed="false">
      <c r="A133" s="4" t="s">
        <v>875</v>
      </c>
      <c r="B133" s="4" t="s">
        <v>876</v>
      </c>
      <c r="C133" s="4" t="s">
        <v>379</v>
      </c>
      <c r="D133" s="4" t="s">
        <v>359</v>
      </c>
      <c r="E133" s="4" t="s">
        <v>877</v>
      </c>
      <c r="F133" s="4" t="s">
        <v>878</v>
      </c>
      <c r="G133" s="4" t="n">
        <v>10</v>
      </c>
      <c r="H133" s="4" t="s">
        <v>359</v>
      </c>
      <c r="I133" s="22" t="n">
        <v>0</v>
      </c>
      <c r="J133" s="4" t="n">
        <v>442</v>
      </c>
      <c r="K133" s="4" t="n">
        <v>5</v>
      </c>
      <c r="L133" s="23" t="n">
        <f aca="false">IF(J133&gt;=5,K133/J133,"too few builds")</f>
        <v>0.0113122171945701</v>
      </c>
      <c r="M133" s="22" t="n">
        <v>0</v>
      </c>
      <c r="N133" s="22" t="n">
        <v>0</v>
      </c>
      <c r="O133" s="4"/>
      <c r="P133" s="4"/>
      <c r="Q133" s="4"/>
      <c r="R133" s="4"/>
    </row>
    <row r="134" customFormat="false" ht="15" hidden="false" customHeight="false" outlineLevel="0" collapsed="false">
      <c r="A134" s="4" t="s">
        <v>879</v>
      </c>
      <c r="B134" s="4" t="s">
        <v>803</v>
      </c>
      <c r="C134" s="4" t="s">
        <v>379</v>
      </c>
      <c r="D134" s="4" t="s">
        <v>359</v>
      </c>
      <c r="E134" s="4" t="s">
        <v>804</v>
      </c>
      <c r="F134" s="4" t="s">
        <v>804</v>
      </c>
      <c r="G134" s="4" t="n">
        <v>30</v>
      </c>
      <c r="H134" s="4" t="s">
        <v>359</v>
      </c>
      <c r="I134" s="22" t="n">
        <v>0.07</v>
      </c>
      <c r="J134" s="4" t="n">
        <v>106</v>
      </c>
      <c r="K134" s="4" t="n">
        <v>34</v>
      </c>
      <c r="L134" s="23" t="n">
        <f aca="false">IF(J134&gt;=5,K134/J134,"too few builds")</f>
        <v>0.320754716981132</v>
      </c>
      <c r="M134" s="22" t="n">
        <v>0</v>
      </c>
      <c r="N134" s="22" t="n">
        <v>0</v>
      </c>
      <c r="O134" s="4"/>
      <c r="P134" s="4"/>
      <c r="Q134" s="4"/>
      <c r="R134" s="4" t="s">
        <v>880</v>
      </c>
    </row>
    <row r="135" customFormat="false" ht="15" hidden="false" customHeight="false" outlineLevel="0" collapsed="false">
      <c r="A135" s="4" t="s">
        <v>881</v>
      </c>
      <c r="B135" s="4" t="s">
        <v>882</v>
      </c>
      <c r="C135" s="4" t="s">
        <v>379</v>
      </c>
      <c r="D135" s="4" t="s">
        <v>359</v>
      </c>
      <c r="E135" s="4" t="s">
        <v>883</v>
      </c>
      <c r="F135" s="4" t="s">
        <v>884</v>
      </c>
      <c r="G135" s="4" t="n">
        <v>85</v>
      </c>
      <c r="H135" s="4" t="s">
        <v>359</v>
      </c>
      <c r="I135" s="22" t="n">
        <v>0.06</v>
      </c>
      <c r="J135" s="4" t="n">
        <v>38</v>
      </c>
      <c r="K135" s="4" t="n">
        <v>30</v>
      </c>
      <c r="L135" s="23" t="n">
        <f aca="false">IF(J135&gt;=5,K135/J135,"too few builds")</f>
        <v>0.789473684210526</v>
      </c>
      <c r="M135" s="22" t="n">
        <v>0</v>
      </c>
      <c r="N135" s="22" t="n">
        <v>0</v>
      </c>
      <c r="O135" s="4"/>
      <c r="P135" s="4" t="s">
        <v>885</v>
      </c>
      <c r="Q135" s="4"/>
      <c r="R135" s="4" t="s">
        <v>886</v>
      </c>
    </row>
    <row r="136" customFormat="false" ht="15" hidden="false" customHeight="false" outlineLevel="0" collapsed="false">
      <c r="A136" s="4" t="s">
        <v>887</v>
      </c>
      <c r="B136" s="4" t="s">
        <v>888</v>
      </c>
      <c r="C136" s="4" t="s">
        <v>379</v>
      </c>
      <c r="D136" s="4" t="s">
        <v>359</v>
      </c>
      <c r="E136" s="4" t="s">
        <v>889</v>
      </c>
      <c r="F136" s="4" t="s">
        <v>890</v>
      </c>
      <c r="G136" s="4" t="n">
        <v>60</v>
      </c>
      <c r="H136" s="4" t="s">
        <v>359</v>
      </c>
      <c r="I136" s="22" t="n">
        <v>0</v>
      </c>
      <c r="J136" s="4" t="n">
        <v>77</v>
      </c>
      <c r="K136" s="4" t="n">
        <v>10</v>
      </c>
      <c r="L136" s="23" t="n">
        <f aca="false">IF(J136&gt;=5,K136/J136,"too few builds")</f>
        <v>0.12987012987013</v>
      </c>
      <c r="M136" s="22" t="n">
        <v>0</v>
      </c>
      <c r="N136" s="22" t="n">
        <v>0</v>
      </c>
      <c r="O136" s="4"/>
      <c r="P136" s="4"/>
      <c r="Q136" s="4"/>
      <c r="R136" s="4" t="s">
        <v>891</v>
      </c>
    </row>
    <row r="137" customFormat="false" ht="15" hidden="false" customHeight="false" outlineLevel="0" collapsed="false">
      <c r="A137" s="4" t="s">
        <v>892</v>
      </c>
      <c r="B137" s="4" t="s">
        <v>664</v>
      </c>
      <c r="C137" s="4" t="s">
        <v>379</v>
      </c>
      <c r="D137" s="4" t="s">
        <v>359</v>
      </c>
      <c r="E137" s="4" t="s">
        <v>893</v>
      </c>
      <c r="F137" s="4" t="s">
        <v>893</v>
      </c>
      <c r="G137" s="4" t="n">
        <v>35</v>
      </c>
      <c r="H137" s="4" t="s">
        <v>359</v>
      </c>
      <c r="I137" s="22" t="n">
        <v>0</v>
      </c>
      <c r="J137" s="4" t="n">
        <v>162</v>
      </c>
      <c r="K137" s="4" t="n">
        <v>3</v>
      </c>
      <c r="L137" s="23" t="n">
        <f aca="false">IF(J137&gt;=5,K137/J137,"too few builds")</f>
        <v>0.0185185185185185</v>
      </c>
      <c r="M137" s="22" t="n">
        <v>0</v>
      </c>
      <c r="N137" s="22" t="n">
        <v>0</v>
      </c>
      <c r="O137" s="4"/>
      <c r="P137" s="4" t="s">
        <v>894</v>
      </c>
      <c r="Q137" s="4"/>
      <c r="R137" s="4"/>
    </row>
    <row r="138" customFormat="false" ht="15" hidden="false" customHeight="false" outlineLevel="0" collapsed="false">
      <c r="A138" s="4" t="s">
        <v>895</v>
      </c>
      <c r="B138" s="4" t="s">
        <v>383</v>
      </c>
      <c r="C138" s="4" t="s">
        <v>379</v>
      </c>
      <c r="D138" s="4" t="s">
        <v>359</v>
      </c>
      <c r="E138" s="4" t="s">
        <v>896</v>
      </c>
      <c r="F138" s="4" t="s">
        <v>896</v>
      </c>
      <c r="G138" s="4" t="n">
        <v>35</v>
      </c>
      <c r="H138" s="4" t="s">
        <v>359</v>
      </c>
      <c r="I138" s="22" t="n">
        <v>0.1</v>
      </c>
      <c r="J138" s="4" t="n">
        <v>82</v>
      </c>
      <c r="K138" s="4" t="n">
        <v>50</v>
      </c>
      <c r="L138" s="23" t="n">
        <f aca="false">IF(J138&gt;=5,K138/J138,"too few builds")</f>
        <v>0.609756097560976</v>
      </c>
      <c r="M138" s="22" t="n">
        <v>0</v>
      </c>
      <c r="N138" s="22" t="n">
        <v>0</v>
      </c>
      <c r="O138" s="4"/>
      <c r="P138" s="4"/>
      <c r="Q138" s="4"/>
      <c r="R138" s="4" t="s">
        <v>897</v>
      </c>
    </row>
    <row r="139" customFormat="false" ht="15" hidden="false" customHeight="false" outlineLevel="0" collapsed="false">
      <c r="A139" s="4" t="s">
        <v>898</v>
      </c>
      <c r="B139" s="4" t="s">
        <v>793</v>
      </c>
      <c r="C139" s="4" t="s">
        <v>358</v>
      </c>
      <c r="D139" s="4" t="s">
        <v>359</v>
      </c>
      <c r="E139" s="4" t="s">
        <v>899</v>
      </c>
      <c r="F139" s="4" t="s">
        <v>900</v>
      </c>
      <c r="G139" s="4" t="n">
        <v>100</v>
      </c>
      <c r="H139" s="4" t="s">
        <v>359</v>
      </c>
      <c r="I139" s="22" t="n">
        <v>0.04</v>
      </c>
      <c r="J139" s="4" t="n">
        <v>21</v>
      </c>
      <c r="K139" s="4" t="n">
        <v>18</v>
      </c>
      <c r="L139" s="23" t="n">
        <f aca="false">IF(J139&gt;=5,K139/J139,"too few builds")</f>
        <v>0.857142857142857</v>
      </c>
      <c r="M139" s="22" t="n">
        <v>0</v>
      </c>
      <c r="N139" s="22" t="n">
        <v>0</v>
      </c>
      <c r="O139" s="4"/>
      <c r="P139" s="4"/>
      <c r="Q139" s="4"/>
      <c r="R139" s="4" t="s">
        <v>901</v>
      </c>
    </row>
    <row r="140" customFormat="false" ht="15" hidden="false" customHeight="false" outlineLevel="0" collapsed="false">
      <c r="A140" s="4" t="s">
        <v>902</v>
      </c>
      <c r="B140" s="4" t="s">
        <v>903</v>
      </c>
      <c r="C140" s="4" t="s">
        <v>379</v>
      </c>
      <c r="D140" s="4" t="s">
        <v>359</v>
      </c>
      <c r="E140" s="4" t="s">
        <v>904</v>
      </c>
      <c r="F140" s="4" t="s">
        <v>905</v>
      </c>
      <c r="G140" s="4" t="n">
        <v>120</v>
      </c>
      <c r="H140" s="4" t="s">
        <v>359</v>
      </c>
      <c r="I140" s="22" t="n">
        <v>0.07</v>
      </c>
      <c r="J140" s="4" t="n">
        <v>43</v>
      </c>
      <c r="K140" s="4" t="n">
        <v>32</v>
      </c>
      <c r="L140" s="23" t="n">
        <f aca="false">IF(J140&gt;=5,K140/J140,"too few builds")</f>
        <v>0.744186046511628</v>
      </c>
      <c r="M140" s="22" t="n">
        <v>0</v>
      </c>
      <c r="N140" s="22" t="n">
        <v>0</v>
      </c>
      <c r="O140" s="4"/>
      <c r="P140" s="4" t="s">
        <v>906</v>
      </c>
      <c r="Q140" s="4"/>
      <c r="R140" s="4" t="s">
        <v>907</v>
      </c>
    </row>
    <row r="141" customFormat="false" ht="15" hidden="false" customHeight="false" outlineLevel="0" collapsed="false">
      <c r="A141" s="4" t="s">
        <v>908</v>
      </c>
      <c r="B141" s="4" t="s">
        <v>667</v>
      </c>
      <c r="C141" s="4" t="s">
        <v>379</v>
      </c>
      <c r="D141" s="4" t="s">
        <v>359</v>
      </c>
      <c r="E141" s="4" t="s">
        <v>909</v>
      </c>
      <c r="F141" s="4" t="s">
        <v>909</v>
      </c>
      <c r="G141" s="4" t="n">
        <v>40</v>
      </c>
      <c r="H141" s="4" t="s">
        <v>359</v>
      </c>
      <c r="I141" s="22" t="n">
        <v>0.14</v>
      </c>
      <c r="J141" s="4" t="n">
        <v>92</v>
      </c>
      <c r="K141" s="4" t="n">
        <v>65</v>
      </c>
      <c r="L141" s="23" t="n">
        <f aca="false">IF(J141&gt;=5,K141/J141,"too few builds")</f>
        <v>0.706521739130435</v>
      </c>
      <c r="M141" s="22" t="n">
        <v>0</v>
      </c>
      <c r="N141" s="22" t="n">
        <v>0</v>
      </c>
      <c r="O141" s="4"/>
      <c r="P141" s="4"/>
      <c r="Q141" s="4"/>
      <c r="R141" s="4" t="s">
        <v>910</v>
      </c>
    </row>
    <row r="142" customFormat="false" ht="15" hidden="false" customHeight="false" outlineLevel="0" collapsed="false">
      <c r="A142" s="4" t="s">
        <v>911</v>
      </c>
      <c r="B142" s="4" t="s">
        <v>912</v>
      </c>
      <c r="C142" s="4" t="s">
        <v>379</v>
      </c>
      <c r="D142" s="4" t="s">
        <v>359</v>
      </c>
      <c r="E142" s="4" t="s">
        <v>913</v>
      </c>
      <c r="F142" s="4" t="s">
        <v>914</v>
      </c>
      <c r="G142" s="4" t="n">
        <v>60</v>
      </c>
      <c r="H142" s="4" t="s">
        <v>359</v>
      </c>
      <c r="I142" s="22" t="n">
        <v>0.06</v>
      </c>
      <c r="J142" s="4" t="n">
        <v>75</v>
      </c>
      <c r="K142" s="4" t="n">
        <v>24</v>
      </c>
      <c r="L142" s="23" t="n">
        <f aca="false">IF(J142&gt;=5,K142/J142,"too few builds")</f>
        <v>0.32</v>
      </c>
      <c r="M142" s="22" t="n">
        <v>0</v>
      </c>
      <c r="N142" s="22" t="n">
        <v>0</v>
      </c>
      <c r="O142" s="4"/>
      <c r="P142" s="4"/>
      <c r="Q142" s="4"/>
      <c r="R142" s="4" t="s">
        <v>915</v>
      </c>
    </row>
    <row r="143" customFormat="false" ht="15" hidden="false" customHeight="false" outlineLevel="0" collapsed="false">
      <c r="A143" s="4" t="s">
        <v>916</v>
      </c>
      <c r="B143" s="4" t="s">
        <v>917</v>
      </c>
      <c r="C143" s="4" t="s">
        <v>379</v>
      </c>
      <c r="D143" s="4" t="s">
        <v>359</v>
      </c>
      <c r="E143" s="4" t="s">
        <v>918</v>
      </c>
      <c r="F143" s="4" t="s">
        <v>918</v>
      </c>
      <c r="G143" s="4" t="n">
        <v>90</v>
      </c>
      <c r="H143" s="4" t="s">
        <v>359</v>
      </c>
      <c r="I143" s="22" t="n">
        <v>0.03</v>
      </c>
      <c r="J143" s="4" t="n">
        <v>23</v>
      </c>
      <c r="K143" s="4" t="n">
        <v>18</v>
      </c>
      <c r="L143" s="23" t="n">
        <f aca="false">IF(J143&gt;=5,K143/J143,"too few builds")</f>
        <v>0.782608695652174</v>
      </c>
      <c r="M143" s="22" t="n">
        <v>0</v>
      </c>
      <c r="N143" s="22" t="n">
        <v>0.15</v>
      </c>
      <c r="O143" s="4"/>
      <c r="P143" s="4"/>
      <c r="Q143" s="4"/>
      <c r="R143" s="4" t="s">
        <v>919</v>
      </c>
    </row>
    <row r="144" customFormat="false" ht="15" hidden="false" customHeight="false" outlineLevel="0" collapsed="false">
      <c r="A144" s="4" t="s">
        <v>920</v>
      </c>
      <c r="B144" s="4" t="s">
        <v>378</v>
      </c>
      <c r="C144" s="4" t="s">
        <v>419</v>
      </c>
      <c r="D144" s="4" t="s">
        <v>359</v>
      </c>
      <c r="E144" s="4" t="s">
        <v>921</v>
      </c>
      <c r="F144" s="4" t="s">
        <v>921</v>
      </c>
      <c r="G144" s="4" t="n">
        <v>60</v>
      </c>
      <c r="H144" s="4" t="s">
        <v>359</v>
      </c>
      <c r="I144" s="22" t="n">
        <v>0.19</v>
      </c>
      <c r="J144" s="4" t="n">
        <v>99</v>
      </c>
      <c r="K144" s="4" t="n">
        <v>82</v>
      </c>
      <c r="L144" s="23" t="n">
        <f aca="false">IF(J144&gt;=5,K144/J144,"too few builds")</f>
        <v>0.828282828282828</v>
      </c>
      <c r="M144" s="22" t="n">
        <v>0</v>
      </c>
      <c r="N144" s="22" t="n">
        <v>0</v>
      </c>
      <c r="O144" s="4"/>
      <c r="P144" s="4"/>
      <c r="Q144" s="4"/>
      <c r="R144" s="4" t="s">
        <v>922</v>
      </c>
    </row>
    <row r="145" customFormat="false" ht="15" hidden="false" customHeight="false" outlineLevel="0" collapsed="false">
      <c r="A145" s="4" t="s">
        <v>923</v>
      </c>
      <c r="B145" s="4" t="s">
        <v>924</v>
      </c>
      <c r="C145" s="4" t="s">
        <v>379</v>
      </c>
      <c r="D145" s="4" t="s">
        <v>359</v>
      </c>
      <c r="E145" s="4" t="s">
        <v>925</v>
      </c>
      <c r="F145" s="4" t="s">
        <v>926</v>
      </c>
      <c r="G145" s="4" t="n">
        <v>65</v>
      </c>
      <c r="H145" s="4" t="s">
        <v>359</v>
      </c>
      <c r="I145" s="22" t="n">
        <v>0.12</v>
      </c>
      <c r="J145" s="4" t="n">
        <v>74</v>
      </c>
      <c r="K145" s="4" t="n">
        <v>60</v>
      </c>
      <c r="L145" s="23" t="n">
        <f aca="false">IF(J145&gt;=5,K145/J145,"too few builds")</f>
        <v>0.810810810810811</v>
      </c>
      <c r="M145" s="22" t="n">
        <v>0</v>
      </c>
      <c r="N145" s="22" t="n">
        <v>0</v>
      </c>
      <c r="O145" s="4"/>
      <c r="P145" s="4"/>
      <c r="Q145" s="4"/>
      <c r="R145" s="4" t="s">
        <v>927</v>
      </c>
    </row>
    <row r="146" customFormat="false" ht="15" hidden="false" customHeight="false" outlineLevel="0" collapsed="false">
      <c r="A146" s="4" t="s">
        <v>928</v>
      </c>
      <c r="B146" s="4" t="s">
        <v>441</v>
      </c>
      <c r="C146" s="4" t="s">
        <v>379</v>
      </c>
      <c r="D146" s="4" t="s">
        <v>359</v>
      </c>
      <c r="E146" s="4" t="s">
        <v>929</v>
      </c>
      <c r="F146" s="4" t="s">
        <v>930</v>
      </c>
      <c r="G146" s="4" t="n">
        <v>85</v>
      </c>
      <c r="H146" s="4" t="s">
        <v>359</v>
      </c>
      <c r="I146" s="22" t="n">
        <v>0.07</v>
      </c>
      <c r="J146" s="4" t="n">
        <v>47</v>
      </c>
      <c r="K146" s="4" t="n">
        <v>28</v>
      </c>
      <c r="L146" s="23" t="n">
        <f aca="false">IF(J146&gt;=5,K146/J146,"too few builds")</f>
        <v>0.595744680851064</v>
      </c>
      <c r="M146" s="22" t="n">
        <v>0</v>
      </c>
      <c r="N146" s="22" t="n">
        <v>0</v>
      </c>
      <c r="O146" s="4"/>
      <c r="P146" s="4" t="s">
        <v>931</v>
      </c>
      <c r="Q146" s="4"/>
      <c r="R146" s="4" t="s">
        <v>932</v>
      </c>
    </row>
    <row r="147" customFormat="false" ht="15" hidden="false" customHeight="false" outlineLevel="0" collapsed="false">
      <c r="A147" s="4" t="s">
        <v>933</v>
      </c>
      <c r="B147" s="4" t="s">
        <v>934</v>
      </c>
      <c r="C147" s="4" t="s">
        <v>379</v>
      </c>
      <c r="D147" s="4" t="s">
        <v>359</v>
      </c>
      <c r="E147" s="4" t="s">
        <v>935</v>
      </c>
      <c r="F147" s="4" t="s">
        <v>935</v>
      </c>
      <c r="G147" s="4" t="n">
        <v>55</v>
      </c>
      <c r="H147" s="4" t="s">
        <v>359</v>
      </c>
      <c r="I147" s="22" t="n">
        <v>0.04</v>
      </c>
      <c r="J147" s="4" t="n">
        <v>137</v>
      </c>
      <c r="K147" s="4" t="n">
        <v>19</v>
      </c>
      <c r="L147" s="23" t="n">
        <f aca="false">IF(J147&gt;=5,K147/J147,"too few builds")</f>
        <v>0.138686131386861</v>
      </c>
      <c r="M147" s="22" t="n">
        <v>0</v>
      </c>
      <c r="N147" s="22" t="n">
        <v>0</v>
      </c>
      <c r="O147" s="4"/>
      <c r="P147" s="4"/>
      <c r="Q147" s="4"/>
      <c r="R147" s="4" t="s">
        <v>936</v>
      </c>
    </row>
    <row r="148" customFormat="false" ht="15" hidden="false" customHeight="false" outlineLevel="0" collapsed="false">
      <c r="A148" s="4" t="s">
        <v>937</v>
      </c>
      <c r="B148" s="4" t="s">
        <v>938</v>
      </c>
      <c r="C148" s="4" t="s">
        <v>379</v>
      </c>
      <c r="D148" s="4" t="s">
        <v>359</v>
      </c>
      <c r="E148" s="4" t="s">
        <v>939</v>
      </c>
      <c r="F148" s="4" t="s">
        <v>940</v>
      </c>
      <c r="G148" s="4" t="n">
        <v>35</v>
      </c>
      <c r="H148" s="4" t="s">
        <v>359</v>
      </c>
      <c r="I148" s="22" t="n">
        <v>0.08</v>
      </c>
      <c r="J148" s="4" t="n">
        <v>130</v>
      </c>
      <c r="K148" s="4" t="n">
        <v>40</v>
      </c>
      <c r="L148" s="23" t="n">
        <f aca="false">IF(J148&gt;=5,K148/J148,"too few builds")</f>
        <v>0.307692307692308</v>
      </c>
      <c r="M148" s="22" t="n">
        <v>0</v>
      </c>
      <c r="N148" s="22" t="n">
        <v>0</v>
      </c>
      <c r="O148" s="4"/>
      <c r="P148" s="4"/>
      <c r="Q148" s="4"/>
      <c r="R148" s="4" t="s">
        <v>941</v>
      </c>
    </row>
    <row r="149" customFormat="false" ht="15" hidden="false" customHeight="false" outlineLevel="0" collapsed="false">
      <c r="A149" s="4" t="s">
        <v>942</v>
      </c>
      <c r="B149" s="4" t="s">
        <v>608</v>
      </c>
      <c r="C149" s="4" t="s">
        <v>379</v>
      </c>
      <c r="D149" s="4" t="s">
        <v>359</v>
      </c>
      <c r="E149" s="4" t="s">
        <v>410</v>
      </c>
      <c r="F149" s="4" t="s">
        <v>410</v>
      </c>
      <c r="G149" s="4" t="n">
        <v>20</v>
      </c>
      <c r="H149" s="4" t="s">
        <v>359</v>
      </c>
      <c r="I149" s="22" t="n">
        <v>0.11</v>
      </c>
      <c r="J149" s="4" t="n">
        <v>121</v>
      </c>
      <c r="K149" s="4" t="n">
        <v>64</v>
      </c>
      <c r="L149" s="23" t="n">
        <f aca="false">IF(J149&gt;=5,K149/J149,"too few builds")</f>
        <v>0.528925619834711</v>
      </c>
      <c r="M149" s="22" t="n">
        <v>0</v>
      </c>
      <c r="N149" s="22" t="n">
        <v>0</v>
      </c>
      <c r="O149" s="4"/>
      <c r="P149" s="4" t="s">
        <v>943</v>
      </c>
      <c r="Q149" s="4"/>
      <c r="R149" s="4" t="s">
        <v>944</v>
      </c>
    </row>
    <row r="150" customFormat="false" ht="15" hidden="false" customHeight="false" outlineLevel="0" collapsed="false">
      <c r="A150" s="4" t="s">
        <v>945</v>
      </c>
      <c r="B150" s="4" t="s">
        <v>608</v>
      </c>
      <c r="C150" s="4" t="s">
        <v>379</v>
      </c>
      <c r="D150" s="4" t="s">
        <v>359</v>
      </c>
      <c r="E150" s="4" t="s">
        <v>946</v>
      </c>
      <c r="F150" s="4" t="s">
        <v>946</v>
      </c>
      <c r="G150" s="4" t="n">
        <v>35</v>
      </c>
      <c r="H150" s="4" t="s">
        <v>359</v>
      </c>
      <c r="I150" s="22" t="n">
        <v>0.1</v>
      </c>
      <c r="J150" s="4" t="n">
        <v>66</v>
      </c>
      <c r="K150" s="4" t="n">
        <v>59</v>
      </c>
      <c r="L150" s="23" t="n">
        <f aca="false">IF(J150&gt;=5,K150/J150,"too few builds")</f>
        <v>0.893939393939394</v>
      </c>
      <c r="M150" s="22" t="n">
        <v>0</v>
      </c>
      <c r="N150" s="22" t="n">
        <v>0</v>
      </c>
      <c r="O150" s="4"/>
      <c r="P150" s="4"/>
      <c r="Q150" s="4"/>
      <c r="R150" s="4" t="s">
        <v>947</v>
      </c>
    </row>
    <row r="151" customFormat="false" ht="15" hidden="false" customHeight="false" outlineLevel="0" collapsed="false">
      <c r="A151" s="4" t="s">
        <v>948</v>
      </c>
      <c r="B151" s="4" t="s">
        <v>949</v>
      </c>
      <c r="C151" s="4" t="s">
        <v>379</v>
      </c>
      <c r="D151" s="4" t="s">
        <v>359</v>
      </c>
      <c r="E151" s="4" t="s">
        <v>950</v>
      </c>
      <c r="F151" s="4" t="s">
        <v>951</v>
      </c>
      <c r="G151" s="4" t="n">
        <v>95</v>
      </c>
      <c r="H151" s="4" t="s">
        <v>359</v>
      </c>
      <c r="I151" s="22" t="n">
        <v>0</v>
      </c>
      <c r="J151" s="4" t="n">
        <v>6</v>
      </c>
      <c r="K151" s="4" t="n">
        <v>5</v>
      </c>
      <c r="L151" s="23" t="n">
        <f aca="false">IF(J151&gt;=5,K151/J151,"too few builds")</f>
        <v>0.833333333333333</v>
      </c>
      <c r="M151" s="22" t="n">
        <v>0</v>
      </c>
      <c r="N151" s="22" t="n">
        <v>0</v>
      </c>
      <c r="O151" s="4"/>
      <c r="P151" s="4"/>
      <c r="Q151" s="4"/>
      <c r="R151" s="4" t="s">
        <v>952</v>
      </c>
    </row>
    <row r="152" customFormat="false" ht="15" hidden="false" customHeight="false" outlineLevel="0" collapsed="false">
      <c r="A152" s="4" t="s">
        <v>953</v>
      </c>
      <c r="B152" s="4" t="s">
        <v>608</v>
      </c>
      <c r="C152" s="4" t="s">
        <v>379</v>
      </c>
      <c r="D152" s="4" t="s">
        <v>359</v>
      </c>
      <c r="E152" s="4" t="s">
        <v>954</v>
      </c>
      <c r="F152" s="4" t="s">
        <v>955</v>
      </c>
      <c r="G152" s="4" t="n">
        <v>75</v>
      </c>
      <c r="H152" s="4" t="s">
        <v>359</v>
      </c>
      <c r="I152" s="22" t="n">
        <v>0</v>
      </c>
      <c r="J152" s="4" t="n">
        <v>41</v>
      </c>
      <c r="K152" s="4" t="n">
        <v>9</v>
      </c>
      <c r="L152" s="23" t="n">
        <f aca="false">IF(J152&gt;=5,K152/J152,"too few builds")</f>
        <v>0.219512195121951</v>
      </c>
      <c r="M152" s="22" t="n">
        <v>0</v>
      </c>
      <c r="N152" s="22" t="n">
        <v>0</v>
      </c>
      <c r="O152" s="4"/>
      <c r="P152" s="4"/>
      <c r="Q152" s="4"/>
      <c r="R152" s="4"/>
    </row>
    <row r="153" customFormat="false" ht="15" hidden="false" customHeight="false" outlineLevel="0" collapsed="false">
      <c r="A153" s="4" t="s">
        <v>956</v>
      </c>
      <c r="B153" s="4" t="s">
        <v>608</v>
      </c>
      <c r="C153" s="4" t="s">
        <v>419</v>
      </c>
      <c r="D153" s="4" t="s">
        <v>359</v>
      </c>
      <c r="E153" s="4" t="s">
        <v>957</v>
      </c>
      <c r="F153" s="4" t="s">
        <v>596</v>
      </c>
      <c r="G153" s="4" t="n">
        <v>60</v>
      </c>
      <c r="H153" s="4" t="s">
        <v>359</v>
      </c>
      <c r="I153" s="22" t="n">
        <v>0.08</v>
      </c>
      <c r="J153" s="4" t="n">
        <v>55</v>
      </c>
      <c r="K153" s="4" t="n">
        <v>46</v>
      </c>
      <c r="L153" s="23" t="n">
        <f aca="false">IF(J153&gt;=5,K153/J153,"too few builds")</f>
        <v>0.836363636363636</v>
      </c>
      <c r="M153" s="22" t="n">
        <v>0</v>
      </c>
      <c r="N153" s="22" t="n">
        <v>0</v>
      </c>
      <c r="O153" s="4"/>
      <c r="P153" s="4"/>
      <c r="Q153" s="4"/>
      <c r="R153" s="4" t="s">
        <v>958</v>
      </c>
    </row>
    <row r="154" customFormat="false" ht="15" hidden="false" customHeight="false" outlineLevel="0" collapsed="false">
      <c r="A154" s="4" t="s">
        <v>959</v>
      </c>
      <c r="B154" s="4" t="s">
        <v>608</v>
      </c>
      <c r="C154" s="4" t="s">
        <v>379</v>
      </c>
      <c r="D154" s="4" t="s">
        <v>359</v>
      </c>
      <c r="E154" s="4" t="s">
        <v>960</v>
      </c>
      <c r="F154" s="4" t="s">
        <v>961</v>
      </c>
      <c r="G154" s="4" t="n">
        <v>45</v>
      </c>
      <c r="H154" s="4" t="s">
        <v>359</v>
      </c>
      <c r="I154" s="22" t="n">
        <v>0.07</v>
      </c>
      <c r="J154" s="4" t="n">
        <v>63</v>
      </c>
      <c r="K154" s="4" t="n">
        <v>35</v>
      </c>
      <c r="L154" s="23" t="n">
        <f aca="false">IF(J154&gt;=5,K154/J154,"too few builds")</f>
        <v>0.555555555555556</v>
      </c>
      <c r="M154" s="22" t="n">
        <v>0</v>
      </c>
      <c r="N154" s="22" t="n">
        <v>0</v>
      </c>
      <c r="O154" s="4"/>
      <c r="P154" s="4"/>
      <c r="Q154" s="4"/>
      <c r="R154" s="4" t="s">
        <v>962</v>
      </c>
    </row>
    <row r="155" customFormat="false" ht="15" hidden="false" customHeight="false" outlineLevel="0" collapsed="false">
      <c r="A155" s="4" t="s">
        <v>963</v>
      </c>
      <c r="B155" s="4" t="s">
        <v>608</v>
      </c>
      <c r="C155" s="4" t="s">
        <v>379</v>
      </c>
      <c r="D155" s="4" t="s">
        <v>359</v>
      </c>
      <c r="E155" s="4" t="s">
        <v>964</v>
      </c>
      <c r="F155" s="4" t="s">
        <v>965</v>
      </c>
      <c r="G155" s="4" t="n">
        <v>180</v>
      </c>
      <c r="H155" s="4" t="s">
        <v>359</v>
      </c>
      <c r="I155" s="22" t="n">
        <v>0</v>
      </c>
      <c r="J155" s="4" t="n">
        <v>8</v>
      </c>
      <c r="K155" s="4" t="n">
        <v>6</v>
      </c>
      <c r="L155" s="23" t="n">
        <f aca="false">IF(J155&gt;=5,K155/J155,"too few builds")</f>
        <v>0.75</v>
      </c>
      <c r="M155" s="22" t="n">
        <v>0</v>
      </c>
      <c r="N155" s="22" t="n">
        <v>0</v>
      </c>
      <c r="O155" s="4"/>
      <c r="P155" s="4"/>
      <c r="Q155" s="4"/>
      <c r="R155" s="4" t="s">
        <v>966</v>
      </c>
    </row>
    <row r="156" customFormat="false" ht="15" hidden="false" customHeight="false" outlineLevel="0" collapsed="false">
      <c r="A156" s="4" t="s">
        <v>716</v>
      </c>
      <c r="B156" s="4" t="s">
        <v>778</v>
      </c>
      <c r="C156" s="4" t="s">
        <v>358</v>
      </c>
      <c r="D156" s="4" t="s">
        <v>359</v>
      </c>
      <c r="E156" s="4" t="s">
        <v>967</v>
      </c>
      <c r="F156" s="4" t="s">
        <v>780</v>
      </c>
      <c r="G156" s="4" t="n">
        <v>55</v>
      </c>
      <c r="H156" s="4" t="s">
        <v>359</v>
      </c>
      <c r="I156" s="22" t="n">
        <v>0.15</v>
      </c>
      <c r="J156" s="4" t="n">
        <v>166</v>
      </c>
      <c r="K156" s="4" t="n">
        <v>84</v>
      </c>
      <c r="L156" s="23" t="n">
        <f aca="false">IF(J156&gt;=5,K156/J156,"too few builds")</f>
        <v>0.506024096385542</v>
      </c>
      <c r="M156" s="22" t="n">
        <v>0</v>
      </c>
      <c r="N156" s="22" t="n">
        <v>0</v>
      </c>
      <c r="O156" s="4"/>
      <c r="P156" s="4"/>
      <c r="Q156" s="4" t="s">
        <v>714</v>
      </c>
      <c r="R156" s="4" t="s">
        <v>968</v>
      </c>
    </row>
    <row r="157" customFormat="false" ht="15" hidden="false" customHeight="false" outlineLevel="0" collapsed="false">
      <c r="A157" s="4" t="s">
        <v>969</v>
      </c>
      <c r="B157" s="4" t="s">
        <v>970</v>
      </c>
      <c r="C157" s="4" t="s">
        <v>332</v>
      </c>
      <c r="D157" s="4" t="s">
        <v>369</v>
      </c>
      <c r="E157" s="4" t="s">
        <v>971</v>
      </c>
      <c r="F157" s="4" t="s">
        <v>371</v>
      </c>
      <c r="G157" s="4" t="n">
        <v>0</v>
      </c>
      <c r="H157" s="4" t="s">
        <v>369</v>
      </c>
      <c r="I157" s="22" t="n">
        <v>0</v>
      </c>
      <c r="J157" s="4" t="n">
        <v>21</v>
      </c>
      <c r="K157" s="4" t="n">
        <v>8</v>
      </c>
      <c r="L157" s="23" t="n">
        <f aca="false">IF(J157&gt;=5,K157/J157,"too few builds")</f>
        <v>0.380952380952381</v>
      </c>
      <c r="M157" s="22" t="n">
        <v>0</v>
      </c>
      <c r="N157" s="22" t="n">
        <v>0</v>
      </c>
      <c r="O157" s="4"/>
      <c r="P157" s="4"/>
      <c r="Q157" s="4"/>
      <c r="R157" s="4" t="s">
        <v>972</v>
      </c>
    </row>
    <row r="158" customFormat="false" ht="15" hidden="false" customHeight="false" outlineLevel="0" collapsed="false">
      <c r="A158" s="4" t="s">
        <v>973</v>
      </c>
      <c r="B158" s="4" t="s">
        <v>974</v>
      </c>
      <c r="C158" s="4" t="s">
        <v>379</v>
      </c>
      <c r="D158" s="4" t="s">
        <v>359</v>
      </c>
      <c r="E158" s="4" t="s">
        <v>975</v>
      </c>
      <c r="F158" s="4" t="s">
        <v>976</v>
      </c>
      <c r="G158" s="4" t="n">
        <v>30</v>
      </c>
      <c r="H158" s="4" t="s">
        <v>359</v>
      </c>
      <c r="I158" s="22" t="n">
        <v>0.08</v>
      </c>
      <c r="J158" s="4" t="n">
        <v>139</v>
      </c>
      <c r="K158" s="4" t="n">
        <v>45</v>
      </c>
      <c r="L158" s="23" t="n">
        <f aca="false">IF(J158&gt;=5,K158/J158,"too few builds")</f>
        <v>0.323741007194245</v>
      </c>
      <c r="M158" s="22" t="n">
        <v>0</v>
      </c>
      <c r="N158" s="22" t="n">
        <v>0</v>
      </c>
      <c r="O158" s="4"/>
      <c r="P158" s="4"/>
      <c r="Q158" s="4"/>
      <c r="R158" s="4"/>
    </row>
    <row r="159" customFormat="false" ht="15" hidden="false" customHeight="false" outlineLevel="0" collapsed="false">
      <c r="A159" s="4" t="s">
        <v>977</v>
      </c>
      <c r="B159" s="4" t="s">
        <v>374</v>
      </c>
      <c r="C159" s="4" t="s">
        <v>332</v>
      </c>
      <c r="D159" s="4" t="s">
        <v>369</v>
      </c>
      <c r="E159" s="4" t="s">
        <v>375</v>
      </c>
      <c r="F159" s="4" t="s">
        <v>371</v>
      </c>
      <c r="G159" s="4" t="n">
        <v>0</v>
      </c>
      <c r="H159" s="4" t="s">
        <v>369</v>
      </c>
      <c r="I159" s="22" t="n">
        <v>0</v>
      </c>
      <c r="J159" s="4" t="n">
        <v>51</v>
      </c>
      <c r="K159" s="4" t="n">
        <v>20</v>
      </c>
      <c r="L159" s="23" t="n">
        <f aca="false">IF(J159&gt;=5,K159/J159,"too few builds")</f>
        <v>0.392156862745098</v>
      </c>
      <c r="M159" s="22" t="n">
        <v>0</v>
      </c>
      <c r="N159" s="22" t="n">
        <v>0</v>
      </c>
      <c r="O159" s="4"/>
      <c r="P159" s="4"/>
      <c r="Q159" s="4"/>
      <c r="R159" s="4" t="s">
        <v>978</v>
      </c>
    </row>
    <row r="160" customFormat="false" ht="15" hidden="false" customHeight="false" outlineLevel="0" collapsed="false">
      <c r="A160" s="4" t="s">
        <v>979</v>
      </c>
      <c r="B160" s="4" t="s">
        <v>980</v>
      </c>
      <c r="C160" s="4" t="s">
        <v>379</v>
      </c>
      <c r="D160" s="4" t="s">
        <v>359</v>
      </c>
      <c r="E160" s="4" t="s">
        <v>981</v>
      </c>
      <c r="F160" s="4" t="s">
        <v>981</v>
      </c>
      <c r="G160" s="4" t="n">
        <v>35</v>
      </c>
      <c r="H160" s="4" t="s">
        <v>359</v>
      </c>
      <c r="I160" s="22" t="n">
        <v>0.08</v>
      </c>
      <c r="J160" s="4" t="n">
        <v>250</v>
      </c>
      <c r="K160" s="4" t="n">
        <v>37</v>
      </c>
      <c r="L160" s="23" t="n">
        <f aca="false">IF(J160&gt;=5,K160/J160,"too few builds")</f>
        <v>0.148</v>
      </c>
      <c r="M160" s="22" t="n">
        <v>0</v>
      </c>
      <c r="N160" s="22" t="n">
        <v>0</v>
      </c>
      <c r="O160" s="4"/>
      <c r="P160" s="4"/>
      <c r="Q160" s="4"/>
      <c r="R160" s="4" t="s">
        <v>982</v>
      </c>
    </row>
    <row r="161" customFormat="false" ht="15" hidden="false" customHeight="false" outlineLevel="0" collapsed="false">
      <c r="A161" s="4" t="s">
        <v>983</v>
      </c>
      <c r="B161" s="4" t="s">
        <v>934</v>
      </c>
      <c r="C161" s="4" t="s">
        <v>379</v>
      </c>
      <c r="D161" s="4" t="s">
        <v>359</v>
      </c>
      <c r="E161" s="4" t="s">
        <v>984</v>
      </c>
      <c r="F161" s="4" t="s">
        <v>984</v>
      </c>
      <c r="G161" s="4" t="n">
        <v>65</v>
      </c>
      <c r="H161" s="4" t="s">
        <v>359</v>
      </c>
      <c r="I161" s="22" t="n">
        <v>0.05</v>
      </c>
      <c r="J161" s="4" t="n">
        <v>130</v>
      </c>
      <c r="K161" s="4" t="n">
        <v>25</v>
      </c>
      <c r="L161" s="23" t="n">
        <f aca="false">IF(J161&gt;=5,K161/J161,"too few builds")</f>
        <v>0.192307692307692</v>
      </c>
      <c r="M161" s="22" t="n">
        <v>0</v>
      </c>
      <c r="N161" s="22" t="n">
        <v>0</v>
      </c>
      <c r="O161" s="4"/>
      <c r="P161" s="4" t="s">
        <v>985</v>
      </c>
      <c r="Q161" s="4"/>
      <c r="R161" s="4" t="s">
        <v>986</v>
      </c>
    </row>
    <row r="162" customFormat="false" ht="15" hidden="false" customHeight="false" outlineLevel="0" collapsed="false">
      <c r="A162" s="4" t="s">
        <v>987</v>
      </c>
      <c r="B162" s="4" t="s">
        <v>988</v>
      </c>
      <c r="C162" s="4" t="s">
        <v>379</v>
      </c>
      <c r="D162" s="4" t="s">
        <v>359</v>
      </c>
      <c r="E162" s="4" t="s">
        <v>989</v>
      </c>
      <c r="F162" s="4" t="s">
        <v>989</v>
      </c>
      <c r="G162" s="4" t="n">
        <v>50</v>
      </c>
      <c r="H162" s="4" t="s">
        <v>359</v>
      </c>
      <c r="I162" s="22" t="n">
        <v>0</v>
      </c>
      <c r="J162" s="4" t="n">
        <v>126</v>
      </c>
      <c r="K162" s="4" t="n">
        <v>12</v>
      </c>
      <c r="L162" s="23" t="n">
        <f aca="false">IF(J162&gt;=5,K162/J162,"too few builds")</f>
        <v>0.0952380952380952</v>
      </c>
      <c r="M162" s="22" t="n">
        <v>0</v>
      </c>
      <c r="N162" s="22" t="n">
        <v>0</v>
      </c>
      <c r="O162" s="4"/>
      <c r="P162" s="4"/>
      <c r="Q162" s="4"/>
      <c r="R162" s="4" t="s">
        <v>990</v>
      </c>
    </row>
    <row r="163" customFormat="false" ht="15" hidden="false" customHeight="false" outlineLevel="0" collapsed="false">
      <c r="A163" s="4" t="s">
        <v>991</v>
      </c>
      <c r="B163" s="4" t="s">
        <v>602</v>
      </c>
      <c r="C163" s="4" t="s">
        <v>379</v>
      </c>
      <c r="D163" s="4" t="s">
        <v>359</v>
      </c>
      <c r="E163" s="4" t="s">
        <v>680</v>
      </c>
      <c r="F163" s="4" t="s">
        <v>680</v>
      </c>
      <c r="G163" s="4" t="n">
        <v>50</v>
      </c>
      <c r="H163" s="4" t="s">
        <v>359</v>
      </c>
      <c r="I163" s="22" t="n">
        <v>0</v>
      </c>
      <c r="J163" s="4" t="n">
        <v>137</v>
      </c>
      <c r="K163" s="4" t="n">
        <v>17</v>
      </c>
      <c r="L163" s="23" t="n">
        <f aca="false">IF(J163&gt;=5,K163/J163,"too few builds")</f>
        <v>0.124087591240876</v>
      </c>
      <c r="M163" s="22" t="n">
        <v>0</v>
      </c>
      <c r="N163" s="22" t="n">
        <v>0</v>
      </c>
      <c r="O163" s="4"/>
      <c r="P163" s="4"/>
      <c r="Q163" s="4"/>
      <c r="R163" s="4" t="s">
        <v>992</v>
      </c>
    </row>
    <row r="164" customFormat="false" ht="15" hidden="false" customHeight="false" outlineLevel="0" collapsed="false">
      <c r="A164" s="4" t="s">
        <v>993</v>
      </c>
      <c r="B164" s="4" t="s">
        <v>775</v>
      </c>
      <c r="C164" s="4" t="s">
        <v>419</v>
      </c>
      <c r="D164" s="4" t="s">
        <v>359</v>
      </c>
      <c r="E164" s="4" t="s">
        <v>994</v>
      </c>
      <c r="F164" s="4" t="s">
        <v>994</v>
      </c>
      <c r="G164" s="4" t="n">
        <v>70</v>
      </c>
      <c r="H164" s="4" t="s">
        <v>359</v>
      </c>
      <c r="I164" s="22" t="n">
        <v>0.16</v>
      </c>
      <c r="J164" s="4" t="n">
        <v>95</v>
      </c>
      <c r="K164" s="4" t="n">
        <v>78</v>
      </c>
      <c r="L164" s="23" t="n">
        <f aca="false">IF(J164&gt;=5,K164/J164,"too few builds")</f>
        <v>0.821052631578947</v>
      </c>
      <c r="M164" s="22" t="n">
        <v>0</v>
      </c>
      <c r="N164" s="22" t="n">
        <v>0</v>
      </c>
      <c r="O164" s="4"/>
      <c r="P164" s="4" t="s">
        <v>995</v>
      </c>
      <c r="Q164" s="4"/>
      <c r="R164" s="4" t="s">
        <v>996</v>
      </c>
    </row>
    <row r="165" customFormat="false" ht="15" hidden="false" customHeight="false" outlineLevel="0" collapsed="false">
      <c r="A165" s="4" t="s">
        <v>997</v>
      </c>
      <c r="B165" s="4" t="s">
        <v>998</v>
      </c>
      <c r="C165" s="4" t="s">
        <v>419</v>
      </c>
      <c r="D165" s="4" t="s">
        <v>359</v>
      </c>
      <c r="E165" s="4" t="s">
        <v>999</v>
      </c>
      <c r="F165" s="4" t="s">
        <v>1000</v>
      </c>
      <c r="G165" s="4" t="n">
        <v>80</v>
      </c>
      <c r="H165" s="4" t="s">
        <v>359</v>
      </c>
      <c r="I165" s="22" t="n">
        <v>0</v>
      </c>
      <c r="J165" s="4" t="n">
        <v>83</v>
      </c>
      <c r="K165" s="4" t="n">
        <v>5</v>
      </c>
      <c r="L165" s="23" t="n">
        <f aca="false">IF(J165&gt;=5,K165/J165,"too few builds")</f>
        <v>0.0602409638554217</v>
      </c>
      <c r="M165" s="22" t="n">
        <v>0</v>
      </c>
      <c r="N165" s="22" t="n">
        <v>0</v>
      </c>
      <c r="O165" s="4"/>
      <c r="P165" s="4"/>
      <c r="Q165" s="4"/>
      <c r="R165" s="4" t="s">
        <v>1001</v>
      </c>
    </row>
    <row r="166" customFormat="false" ht="15" hidden="false" customHeight="false" outlineLevel="0" collapsed="false">
      <c r="A166" s="4" t="s">
        <v>1002</v>
      </c>
      <c r="B166" s="4" t="s">
        <v>1003</v>
      </c>
      <c r="C166" s="4" t="s">
        <v>419</v>
      </c>
      <c r="D166" s="4" t="s">
        <v>359</v>
      </c>
      <c r="E166" s="4" t="s">
        <v>1004</v>
      </c>
      <c r="F166" s="4" t="s">
        <v>1005</v>
      </c>
      <c r="G166" s="4" t="n">
        <v>190</v>
      </c>
      <c r="H166" s="4" t="s">
        <v>359</v>
      </c>
      <c r="I166" s="22" t="n">
        <v>0</v>
      </c>
      <c r="J166" s="4" t="n">
        <v>3</v>
      </c>
      <c r="K166" s="4" t="n">
        <v>0</v>
      </c>
      <c r="L166" s="23" t="str">
        <f aca="false">IF(J166&gt;=5,K166/J166,"too few builds")</f>
        <v>too few builds</v>
      </c>
      <c r="M166" s="22" t="n">
        <v>0</v>
      </c>
      <c r="N166" s="22" t="n">
        <v>0</v>
      </c>
      <c r="O166" s="4"/>
      <c r="P166" s="4"/>
      <c r="Q166" s="4"/>
      <c r="R166" s="4"/>
    </row>
    <row r="167" customFormat="false" ht="15" hidden="false" customHeight="false" outlineLevel="0" collapsed="false">
      <c r="A167" s="4" t="s">
        <v>1006</v>
      </c>
      <c r="B167" s="4" t="s">
        <v>1007</v>
      </c>
      <c r="C167" s="4" t="s">
        <v>419</v>
      </c>
      <c r="D167" s="4" t="s">
        <v>359</v>
      </c>
      <c r="E167" s="4" t="s">
        <v>1008</v>
      </c>
      <c r="F167" s="4" t="s">
        <v>1008</v>
      </c>
      <c r="G167" s="4" t="n">
        <v>65</v>
      </c>
      <c r="H167" s="4" t="s">
        <v>359</v>
      </c>
      <c r="I167" s="22" t="n">
        <v>0.1</v>
      </c>
      <c r="J167" s="4" t="n">
        <v>110</v>
      </c>
      <c r="K167" s="4" t="n">
        <v>52</v>
      </c>
      <c r="L167" s="23" t="n">
        <f aca="false">IF(J167&gt;=5,K167/J167,"too few builds")</f>
        <v>0.472727272727273</v>
      </c>
      <c r="M167" s="22" t="n">
        <v>0</v>
      </c>
      <c r="N167" s="22" t="n">
        <v>0</v>
      </c>
      <c r="O167" s="4"/>
      <c r="P167" s="4"/>
      <c r="Q167" s="4"/>
      <c r="R167" s="4" t="s">
        <v>1009</v>
      </c>
    </row>
    <row r="168" customFormat="false" ht="15" hidden="false" customHeight="false" outlineLevel="0" collapsed="false">
      <c r="A168" s="4" t="s">
        <v>1010</v>
      </c>
      <c r="B168" s="4" t="s">
        <v>1011</v>
      </c>
      <c r="C168" s="4" t="s">
        <v>419</v>
      </c>
      <c r="D168" s="4" t="s">
        <v>359</v>
      </c>
      <c r="E168" s="4" t="s">
        <v>599</v>
      </c>
      <c r="F168" s="4" t="s">
        <v>599</v>
      </c>
      <c r="G168" s="4" t="n">
        <v>25</v>
      </c>
      <c r="H168" s="4" t="s">
        <v>359</v>
      </c>
      <c r="I168" s="22" t="n">
        <v>0.06</v>
      </c>
      <c r="J168" s="4" t="n">
        <v>409</v>
      </c>
      <c r="K168" s="4" t="n">
        <v>32</v>
      </c>
      <c r="L168" s="23" t="n">
        <f aca="false">IF(J168&gt;=5,K168/J168,"too few builds")</f>
        <v>0.078239608801956</v>
      </c>
      <c r="M168" s="22" t="n">
        <v>0</v>
      </c>
      <c r="N168" s="22" t="n">
        <v>0</v>
      </c>
      <c r="O168" s="4"/>
      <c r="P168" s="4" t="s">
        <v>1012</v>
      </c>
      <c r="Q168" s="4"/>
      <c r="R168" s="4" t="s">
        <v>1013</v>
      </c>
    </row>
    <row r="169" customFormat="false" ht="15" hidden="false" customHeight="false" outlineLevel="0" collapsed="false">
      <c r="A169" s="4" t="s">
        <v>1014</v>
      </c>
      <c r="B169" s="4" t="s">
        <v>692</v>
      </c>
      <c r="C169" s="4" t="s">
        <v>379</v>
      </c>
      <c r="D169" s="4" t="s">
        <v>359</v>
      </c>
      <c r="E169" s="4" t="s">
        <v>1015</v>
      </c>
      <c r="F169" s="4" t="s">
        <v>1015</v>
      </c>
      <c r="G169" s="4" t="n">
        <v>25</v>
      </c>
      <c r="H169" s="4" t="s">
        <v>359</v>
      </c>
      <c r="I169" s="22" t="n">
        <v>0.51</v>
      </c>
      <c r="J169" s="4" t="n">
        <v>373</v>
      </c>
      <c r="K169" s="4" t="n">
        <v>247</v>
      </c>
      <c r="L169" s="23" t="n">
        <f aca="false">IF(J169&gt;=5,K169/J169,"too few builds")</f>
        <v>0.662198391420912</v>
      </c>
      <c r="M169" s="22" t="n">
        <v>0</v>
      </c>
      <c r="N169" s="22" t="n">
        <v>0</v>
      </c>
      <c r="O169" s="4"/>
      <c r="P169" s="4" t="s">
        <v>1016</v>
      </c>
      <c r="Q169" s="4"/>
      <c r="R169" s="4" t="s">
        <v>1017</v>
      </c>
    </row>
    <row r="170" customFormat="false" ht="15" hidden="false" customHeight="false" outlineLevel="0" collapsed="false">
      <c r="A170" s="4" t="s">
        <v>1018</v>
      </c>
      <c r="B170" s="4" t="s">
        <v>1019</v>
      </c>
      <c r="C170" s="4" t="s">
        <v>379</v>
      </c>
      <c r="D170" s="4" t="s">
        <v>359</v>
      </c>
      <c r="E170" s="4" t="s">
        <v>1020</v>
      </c>
      <c r="F170" s="4" t="s">
        <v>1020</v>
      </c>
      <c r="G170" s="4" t="n">
        <v>35</v>
      </c>
      <c r="H170" s="4" t="s">
        <v>359</v>
      </c>
      <c r="I170" s="22" t="n">
        <v>0.04</v>
      </c>
      <c r="J170" s="4" t="n">
        <v>37</v>
      </c>
      <c r="K170" s="4" t="n">
        <v>22</v>
      </c>
      <c r="L170" s="23" t="n">
        <f aca="false">IF(J170&gt;=5,K170/J170,"too few builds")</f>
        <v>0.594594594594595</v>
      </c>
      <c r="M170" s="22" t="n">
        <v>0</v>
      </c>
      <c r="N170" s="22" t="n">
        <v>0</v>
      </c>
      <c r="O170" s="4"/>
      <c r="P170" s="4"/>
      <c r="Q170" s="4"/>
      <c r="R170" s="4" t="s">
        <v>1021</v>
      </c>
    </row>
    <row r="171" customFormat="false" ht="15" hidden="false" customHeight="false" outlineLevel="0" collapsed="false">
      <c r="A171" s="4" t="s">
        <v>1022</v>
      </c>
      <c r="B171" s="4" t="s">
        <v>413</v>
      </c>
      <c r="C171" s="4" t="s">
        <v>379</v>
      </c>
      <c r="D171" s="4" t="s">
        <v>359</v>
      </c>
      <c r="E171" s="4" t="s">
        <v>753</v>
      </c>
      <c r="F171" s="4" t="s">
        <v>753</v>
      </c>
      <c r="G171" s="4" t="n">
        <v>50</v>
      </c>
      <c r="H171" s="4" t="s">
        <v>359</v>
      </c>
      <c r="I171" s="22" t="n">
        <v>0.03</v>
      </c>
      <c r="J171" s="4" t="n">
        <v>74</v>
      </c>
      <c r="K171" s="4" t="n">
        <v>13</v>
      </c>
      <c r="L171" s="23" t="n">
        <f aca="false">IF(J171&gt;=5,K171/J171,"too few builds")</f>
        <v>0.175675675675676</v>
      </c>
      <c r="M171" s="22" t="n">
        <v>0</v>
      </c>
      <c r="N171" s="22" t="n">
        <v>0</v>
      </c>
      <c r="O171" s="4"/>
      <c r="P171" s="4"/>
      <c r="Q171" s="4"/>
      <c r="R171" s="4" t="s">
        <v>1023</v>
      </c>
    </row>
    <row r="172" customFormat="false" ht="15" hidden="false" customHeight="false" outlineLevel="0" collapsed="false">
      <c r="A172" s="4" t="s">
        <v>1024</v>
      </c>
      <c r="B172" s="4" t="s">
        <v>679</v>
      </c>
      <c r="C172" s="4" t="s">
        <v>379</v>
      </c>
      <c r="D172" s="4" t="s">
        <v>359</v>
      </c>
      <c r="E172" s="4" t="s">
        <v>1025</v>
      </c>
      <c r="F172" s="4" t="s">
        <v>1026</v>
      </c>
      <c r="G172" s="4" t="n">
        <v>95</v>
      </c>
      <c r="H172" s="4" t="s">
        <v>359</v>
      </c>
      <c r="I172" s="22" t="n">
        <v>0</v>
      </c>
      <c r="J172" s="4" t="n">
        <v>94</v>
      </c>
      <c r="K172" s="4" t="n">
        <v>3</v>
      </c>
      <c r="L172" s="23" t="n">
        <f aca="false">IF(J172&gt;=5,K172/J172,"too few builds")</f>
        <v>0.0319148936170213</v>
      </c>
      <c r="M172" s="22" t="n">
        <v>0</v>
      </c>
      <c r="N172" s="22" t="n">
        <v>0</v>
      </c>
      <c r="O172" s="4"/>
      <c r="P172" s="4"/>
      <c r="Q172" s="4"/>
      <c r="R172" s="4" t="s">
        <v>1027</v>
      </c>
    </row>
    <row r="173" customFormat="false" ht="15" hidden="false" customHeight="false" outlineLevel="0" collapsed="false">
      <c r="A173" s="4" t="s">
        <v>1028</v>
      </c>
      <c r="B173" s="4" t="s">
        <v>620</v>
      </c>
      <c r="C173" s="4" t="s">
        <v>379</v>
      </c>
      <c r="D173" s="4" t="s">
        <v>359</v>
      </c>
      <c r="E173" s="4" t="s">
        <v>1029</v>
      </c>
      <c r="F173" s="4" t="s">
        <v>1030</v>
      </c>
      <c r="G173" s="4" t="n">
        <v>110</v>
      </c>
      <c r="H173" s="4" t="s">
        <v>359</v>
      </c>
      <c r="I173" s="22" t="n">
        <v>0.04</v>
      </c>
      <c r="J173" s="4" t="n">
        <v>42</v>
      </c>
      <c r="K173" s="4" t="n">
        <v>21</v>
      </c>
      <c r="L173" s="23" t="n">
        <f aca="false">IF(J173&gt;=5,K173/J173,"too few builds")</f>
        <v>0.5</v>
      </c>
      <c r="M173" s="22" t="n">
        <v>0</v>
      </c>
      <c r="N173" s="22" t="n">
        <v>0</v>
      </c>
      <c r="O173" s="4"/>
      <c r="P173" s="4" t="s">
        <v>1031</v>
      </c>
      <c r="Q173" s="4"/>
      <c r="R173" s="4"/>
    </row>
    <row r="174" customFormat="false" ht="15" hidden="false" customHeight="false" outlineLevel="0" collapsed="false">
      <c r="A174" s="4" t="s">
        <v>1032</v>
      </c>
      <c r="B174" s="4" t="s">
        <v>793</v>
      </c>
      <c r="C174" s="4" t="s">
        <v>379</v>
      </c>
      <c r="D174" s="4" t="s">
        <v>359</v>
      </c>
      <c r="E174" s="4" t="s">
        <v>433</v>
      </c>
      <c r="F174" s="4" t="s">
        <v>433</v>
      </c>
      <c r="G174" s="4" t="n">
        <v>75</v>
      </c>
      <c r="H174" s="4" t="s">
        <v>359</v>
      </c>
      <c r="I174" s="22" t="n">
        <v>0.1</v>
      </c>
      <c r="J174" s="4" t="n">
        <v>44</v>
      </c>
      <c r="K174" s="4" t="n">
        <v>39</v>
      </c>
      <c r="L174" s="23" t="n">
        <f aca="false">IF(J174&gt;=5,K174/J174,"too few builds")</f>
        <v>0.886363636363636</v>
      </c>
      <c r="M174" s="22" t="n">
        <v>0</v>
      </c>
      <c r="N174" s="22" t="n">
        <v>0</v>
      </c>
      <c r="O174" s="4"/>
      <c r="P174" s="4"/>
      <c r="Q174" s="4"/>
      <c r="R174" s="4" t="s">
        <v>1033</v>
      </c>
    </row>
    <row r="175" customFormat="false" ht="15" hidden="false" customHeight="false" outlineLevel="0" collapsed="false">
      <c r="A175" s="4" t="s">
        <v>1034</v>
      </c>
      <c r="B175" s="4" t="s">
        <v>934</v>
      </c>
      <c r="C175" s="4" t="s">
        <v>379</v>
      </c>
      <c r="D175" s="4" t="s">
        <v>359</v>
      </c>
      <c r="E175" s="4" t="s">
        <v>1035</v>
      </c>
      <c r="F175" s="4" t="s">
        <v>1035</v>
      </c>
      <c r="G175" s="4" t="n">
        <v>60</v>
      </c>
      <c r="H175" s="4" t="s">
        <v>359</v>
      </c>
      <c r="I175" s="22" t="n">
        <v>0.06</v>
      </c>
      <c r="J175" s="4" t="n">
        <v>133</v>
      </c>
      <c r="K175" s="4" t="n">
        <v>27</v>
      </c>
      <c r="L175" s="23" t="n">
        <f aca="false">IF(J175&gt;=5,K175/J175,"too few builds")</f>
        <v>0.203007518796992</v>
      </c>
      <c r="M175" s="22" t="n">
        <v>0</v>
      </c>
      <c r="N175" s="22" t="n">
        <v>0</v>
      </c>
      <c r="O175" s="4"/>
      <c r="P175" s="4"/>
      <c r="Q175" s="4"/>
      <c r="R175" s="4" t="s">
        <v>1036</v>
      </c>
    </row>
    <row r="176" customFormat="false" ht="15" hidden="false" customHeight="false" outlineLevel="0" collapsed="false">
      <c r="A176" s="4" t="s">
        <v>1037</v>
      </c>
      <c r="B176" s="4" t="s">
        <v>683</v>
      </c>
      <c r="C176" s="4" t="s">
        <v>379</v>
      </c>
      <c r="D176" s="4" t="s">
        <v>359</v>
      </c>
      <c r="E176" s="4" t="s">
        <v>585</v>
      </c>
      <c r="F176" s="4" t="s">
        <v>371</v>
      </c>
      <c r="G176" s="4" t="n">
        <v>0</v>
      </c>
      <c r="H176" s="4" t="s">
        <v>369</v>
      </c>
      <c r="I176" s="22" t="n">
        <v>0.08</v>
      </c>
      <c r="J176" s="4" t="n">
        <v>500</v>
      </c>
      <c r="K176" s="4" t="n">
        <v>35</v>
      </c>
      <c r="L176" s="23" t="n">
        <f aca="false">IF(J176&gt;=5,K176/J176,"too few builds")</f>
        <v>0.07</v>
      </c>
      <c r="M176" s="22" t="n">
        <v>0</v>
      </c>
      <c r="N176" s="22" t="n">
        <v>0</v>
      </c>
      <c r="O176" s="4"/>
      <c r="P176" s="4"/>
      <c r="Q176" s="4"/>
      <c r="R176" s="4" t="s">
        <v>1038</v>
      </c>
    </row>
    <row r="177" customFormat="false" ht="15" hidden="false" customHeight="false" outlineLevel="0" collapsed="false">
      <c r="A177" s="4" t="s">
        <v>1039</v>
      </c>
      <c r="B177" s="4" t="s">
        <v>215</v>
      </c>
      <c r="C177" s="4" t="s">
        <v>332</v>
      </c>
      <c r="D177" s="4" t="s">
        <v>369</v>
      </c>
      <c r="E177" s="4" t="s">
        <v>481</v>
      </c>
      <c r="F177" s="4" t="s">
        <v>371</v>
      </c>
      <c r="G177" s="4" t="n">
        <v>0</v>
      </c>
      <c r="H177" s="4" t="s">
        <v>369</v>
      </c>
      <c r="I177" s="22" t="n">
        <v>0</v>
      </c>
      <c r="J177" s="4" t="n">
        <v>51</v>
      </c>
      <c r="K177" s="4" t="n">
        <v>20</v>
      </c>
      <c r="L177" s="23" t="n">
        <f aca="false">IF(J177&gt;=5,K177/J177,"too few builds")</f>
        <v>0.392156862745098</v>
      </c>
      <c r="M177" s="22" t="n">
        <v>0</v>
      </c>
      <c r="N177" s="22" t="n">
        <v>0</v>
      </c>
      <c r="O177" s="4"/>
      <c r="P177" s="4"/>
      <c r="Q177" s="4"/>
      <c r="R177" s="4" t="s">
        <v>1040</v>
      </c>
    </row>
    <row r="178" customFormat="false" ht="15" hidden="false" customHeight="false" outlineLevel="0" collapsed="false">
      <c r="A178" s="4" t="s">
        <v>1041</v>
      </c>
      <c r="B178" s="4" t="s">
        <v>602</v>
      </c>
      <c r="C178" s="4" t="s">
        <v>379</v>
      </c>
      <c r="D178" s="4" t="s">
        <v>359</v>
      </c>
      <c r="E178" s="4" t="s">
        <v>603</v>
      </c>
      <c r="F178" s="4" t="s">
        <v>603</v>
      </c>
      <c r="G178" s="4" t="n">
        <v>30</v>
      </c>
      <c r="H178" s="4" t="s">
        <v>359</v>
      </c>
      <c r="I178" s="22" t="n">
        <v>0</v>
      </c>
      <c r="J178" s="4" t="n">
        <v>177</v>
      </c>
      <c r="K178" s="4" t="n">
        <v>15</v>
      </c>
      <c r="L178" s="23" t="n">
        <f aca="false">IF(J178&gt;=5,K178/J178,"too few builds")</f>
        <v>0.0847457627118644</v>
      </c>
      <c r="M178" s="22" t="n">
        <v>0</v>
      </c>
      <c r="N178" s="22" t="n">
        <v>0</v>
      </c>
      <c r="O178" s="4"/>
      <c r="P178" s="4"/>
      <c r="Q178" s="4"/>
      <c r="R178" s="4" t="s">
        <v>1042</v>
      </c>
    </row>
    <row r="179" customFormat="false" ht="15" hidden="false" customHeight="false" outlineLevel="0" collapsed="false">
      <c r="A179" s="4" t="s">
        <v>1043</v>
      </c>
      <c r="B179" s="4" t="s">
        <v>988</v>
      </c>
      <c r="C179" s="4" t="s">
        <v>379</v>
      </c>
      <c r="D179" s="4" t="s">
        <v>359</v>
      </c>
      <c r="E179" s="4" t="s">
        <v>976</v>
      </c>
      <c r="F179" s="4" t="s">
        <v>976</v>
      </c>
      <c r="G179" s="4" t="n">
        <v>30</v>
      </c>
      <c r="H179" s="4" t="s">
        <v>359</v>
      </c>
      <c r="I179" s="22" t="n">
        <v>0</v>
      </c>
      <c r="J179" s="4" t="n">
        <v>139</v>
      </c>
      <c r="K179" s="4" t="n">
        <v>11</v>
      </c>
      <c r="L179" s="23" t="n">
        <f aca="false">IF(J179&gt;=5,K179/J179,"too few builds")</f>
        <v>0.079136690647482</v>
      </c>
      <c r="M179" s="22" t="n">
        <v>0</v>
      </c>
      <c r="N179" s="22" t="n">
        <v>0</v>
      </c>
      <c r="O179" s="4"/>
      <c r="P179" s="4"/>
      <c r="Q179" s="4"/>
      <c r="R179" s="4" t="s">
        <v>1044</v>
      </c>
    </row>
    <row r="180" customFormat="false" ht="15" hidden="false" customHeight="false" outlineLevel="0" collapsed="false">
      <c r="A180" s="4" t="s">
        <v>1045</v>
      </c>
      <c r="B180" s="4" t="s">
        <v>1046</v>
      </c>
      <c r="C180" s="4" t="s">
        <v>358</v>
      </c>
      <c r="D180" s="4" t="s">
        <v>359</v>
      </c>
      <c r="E180" s="4" t="s">
        <v>1047</v>
      </c>
      <c r="F180" s="4" t="s">
        <v>1048</v>
      </c>
      <c r="G180" s="4" t="n">
        <v>90</v>
      </c>
      <c r="H180" s="4" t="s">
        <v>359</v>
      </c>
      <c r="I180" s="22" t="n">
        <v>0.06</v>
      </c>
      <c r="J180" s="4" t="n">
        <v>27</v>
      </c>
      <c r="K180" s="4" t="n">
        <v>26</v>
      </c>
      <c r="L180" s="23" t="n">
        <f aca="false">IF(J180&gt;=5,K180/J180,"too few builds")</f>
        <v>0.962962962962963</v>
      </c>
      <c r="M180" s="22" t="n">
        <v>0</v>
      </c>
      <c r="N180" s="22" t="n">
        <v>0</v>
      </c>
      <c r="O180" s="4"/>
      <c r="P180" s="4"/>
      <c r="Q180" s="4"/>
      <c r="R180" s="4" t="s">
        <v>1049</v>
      </c>
    </row>
    <row r="181" customFormat="false" ht="15" hidden="false" customHeight="false" outlineLevel="0" collapsed="false">
      <c r="A181" s="4" t="s">
        <v>1050</v>
      </c>
      <c r="B181" s="4" t="s">
        <v>1051</v>
      </c>
      <c r="C181" s="4" t="s">
        <v>379</v>
      </c>
      <c r="D181" s="4" t="s">
        <v>359</v>
      </c>
      <c r="E181" s="4" t="s">
        <v>1052</v>
      </c>
      <c r="F181" s="4" t="s">
        <v>1053</v>
      </c>
      <c r="G181" s="4" t="n">
        <v>55</v>
      </c>
      <c r="H181" s="4" t="s">
        <v>359</v>
      </c>
      <c r="I181" s="22" t="n">
        <v>0.06</v>
      </c>
      <c r="J181" s="4" t="n">
        <v>127</v>
      </c>
      <c r="K181" s="4" t="n">
        <v>36</v>
      </c>
      <c r="L181" s="23" t="n">
        <f aca="false">IF(J181&gt;=5,K181/J181,"too few builds")</f>
        <v>0.283464566929134</v>
      </c>
      <c r="M181" s="22" t="n">
        <v>0</v>
      </c>
      <c r="N181" s="22" t="n">
        <v>0</v>
      </c>
      <c r="O181" s="4"/>
      <c r="P181" s="4" t="s">
        <v>1054</v>
      </c>
      <c r="Q181" s="4"/>
      <c r="R181" s="4" t="s">
        <v>1055</v>
      </c>
    </row>
    <row r="182" customFormat="false" ht="15" hidden="false" customHeight="false" outlineLevel="0" collapsed="false">
      <c r="A182" s="4" t="s">
        <v>1056</v>
      </c>
      <c r="B182" s="4" t="s">
        <v>466</v>
      </c>
      <c r="C182" s="4" t="s">
        <v>379</v>
      </c>
      <c r="D182" s="4" t="s">
        <v>359</v>
      </c>
      <c r="E182" s="4" t="s">
        <v>1057</v>
      </c>
      <c r="F182" s="4" t="s">
        <v>1057</v>
      </c>
      <c r="G182" s="4" t="n">
        <v>25</v>
      </c>
      <c r="H182" s="4" t="s">
        <v>359</v>
      </c>
      <c r="I182" s="22" t="n">
        <v>0.11</v>
      </c>
      <c r="J182" s="4" t="n">
        <v>96</v>
      </c>
      <c r="K182" s="4" t="n">
        <v>49</v>
      </c>
      <c r="L182" s="23" t="n">
        <f aca="false">IF(J182&gt;=5,K182/J182,"too few builds")</f>
        <v>0.510416666666667</v>
      </c>
      <c r="M182" s="22" t="n">
        <v>0.1</v>
      </c>
      <c r="N182" s="22" t="n">
        <v>0</v>
      </c>
      <c r="O182" s="4"/>
      <c r="P182" s="4"/>
      <c r="Q182" s="4"/>
      <c r="R182" s="4" t="s">
        <v>1058</v>
      </c>
    </row>
    <row r="183" customFormat="false" ht="15" hidden="false" customHeight="false" outlineLevel="0" collapsed="false">
      <c r="A183" s="4" t="s">
        <v>1059</v>
      </c>
      <c r="B183" s="4" t="s">
        <v>634</v>
      </c>
      <c r="C183" s="4" t="s">
        <v>379</v>
      </c>
      <c r="D183" s="4" t="s">
        <v>359</v>
      </c>
      <c r="E183" s="4" t="s">
        <v>1060</v>
      </c>
      <c r="F183" s="4" t="s">
        <v>1060</v>
      </c>
      <c r="G183" s="4" t="n">
        <v>80</v>
      </c>
      <c r="H183" s="4" t="s">
        <v>359</v>
      </c>
      <c r="I183" s="22" t="n">
        <v>0</v>
      </c>
      <c r="J183" s="4" t="n">
        <v>10</v>
      </c>
      <c r="K183" s="4" t="n">
        <v>2</v>
      </c>
      <c r="L183" s="23" t="n">
        <f aca="false">IF(J183&gt;=5,K183/J183,"too few builds")</f>
        <v>0.2</v>
      </c>
      <c r="M183" s="22" t="n">
        <v>0</v>
      </c>
      <c r="N183" s="22" t="n">
        <v>0</v>
      </c>
      <c r="O183" s="4"/>
      <c r="P183" s="4"/>
      <c r="Q183" s="4"/>
      <c r="R183" s="4" t="s">
        <v>1061</v>
      </c>
    </row>
    <row r="184" customFormat="false" ht="15" hidden="false" customHeight="false" outlineLevel="0" collapsed="false">
      <c r="A184" s="4" t="s">
        <v>1062</v>
      </c>
      <c r="B184" s="4" t="s">
        <v>1063</v>
      </c>
      <c r="C184" s="4" t="s">
        <v>379</v>
      </c>
      <c r="D184" s="4" t="s">
        <v>359</v>
      </c>
      <c r="E184" s="4" t="s">
        <v>1064</v>
      </c>
      <c r="F184" s="4" t="s">
        <v>1065</v>
      </c>
      <c r="G184" s="4" t="n">
        <v>120</v>
      </c>
      <c r="H184" s="4" t="s">
        <v>359</v>
      </c>
      <c r="I184" s="22" t="n">
        <v>0</v>
      </c>
      <c r="J184" s="4" t="n">
        <v>20</v>
      </c>
      <c r="K184" s="4" t="n">
        <v>4</v>
      </c>
      <c r="L184" s="23" t="n">
        <f aca="false">IF(J184&gt;=5,K184/J184,"too few builds")</f>
        <v>0.2</v>
      </c>
      <c r="M184" s="22" t="n">
        <v>0</v>
      </c>
      <c r="N184" s="22" t="n">
        <v>0</v>
      </c>
      <c r="O184" s="4"/>
      <c r="P184" s="4"/>
      <c r="Q184" s="4" t="s">
        <v>1066</v>
      </c>
      <c r="R184" s="4"/>
    </row>
    <row r="185" customFormat="false" ht="15" hidden="false" customHeight="false" outlineLevel="0" collapsed="false">
      <c r="A185" s="4" t="s">
        <v>1067</v>
      </c>
      <c r="B185" s="4" t="s">
        <v>924</v>
      </c>
      <c r="C185" s="4" t="s">
        <v>379</v>
      </c>
      <c r="D185" s="4" t="s">
        <v>359</v>
      </c>
      <c r="E185" s="4" t="s">
        <v>925</v>
      </c>
      <c r="F185" s="4" t="s">
        <v>926</v>
      </c>
      <c r="G185" s="4" t="n">
        <v>65</v>
      </c>
      <c r="H185" s="4" t="s">
        <v>359</v>
      </c>
      <c r="I185" s="22" t="n">
        <v>0.07</v>
      </c>
      <c r="J185" s="4" t="n">
        <v>74</v>
      </c>
      <c r="K185" s="4" t="n">
        <v>38</v>
      </c>
      <c r="L185" s="23" t="n">
        <f aca="false">IF(J185&gt;=5,K185/J185,"too few builds")</f>
        <v>0.513513513513514</v>
      </c>
      <c r="M185" s="22" t="n">
        <v>0</v>
      </c>
      <c r="N185" s="22" t="n">
        <v>0</v>
      </c>
      <c r="O185" s="4"/>
      <c r="P185" s="4"/>
      <c r="Q185" s="4"/>
      <c r="R185" s="4" t="s">
        <v>1068</v>
      </c>
    </row>
    <row r="186" customFormat="false" ht="15" hidden="false" customHeight="false" outlineLevel="0" collapsed="false">
      <c r="A186" s="4" t="s">
        <v>1069</v>
      </c>
      <c r="B186" s="4" t="s">
        <v>428</v>
      </c>
      <c r="C186" s="4" t="s">
        <v>379</v>
      </c>
      <c r="D186" s="4" t="s">
        <v>359</v>
      </c>
      <c r="E186" s="4" t="s">
        <v>1070</v>
      </c>
      <c r="F186" s="4" t="s">
        <v>1070</v>
      </c>
      <c r="G186" s="4" t="n">
        <v>80</v>
      </c>
      <c r="H186" s="4" t="s">
        <v>359</v>
      </c>
      <c r="I186" s="22" t="n">
        <v>0.13</v>
      </c>
      <c r="J186" s="4" t="n">
        <v>92</v>
      </c>
      <c r="K186" s="4" t="n">
        <v>61</v>
      </c>
      <c r="L186" s="23" t="n">
        <f aca="false">IF(J186&gt;=5,K186/J186,"too few builds")</f>
        <v>0.66304347826087</v>
      </c>
      <c r="M186" s="22" t="n">
        <v>0</v>
      </c>
      <c r="N186" s="22" t="n">
        <v>0</v>
      </c>
      <c r="O186" s="4"/>
      <c r="P186" s="4"/>
      <c r="Q186" s="4"/>
      <c r="R186" s="4" t="s">
        <v>1071</v>
      </c>
    </row>
    <row r="187" customFormat="false" ht="15" hidden="false" customHeight="false" outlineLevel="0" collapsed="false">
      <c r="A187" s="4" t="s">
        <v>1072</v>
      </c>
      <c r="B187" s="4" t="s">
        <v>1073</v>
      </c>
      <c r="C187" s="4" t="s">
        <v>379</v>
      </c>
      <c r="D187" s="4" t="s">
        <v>359</v>
      </c>
      <c r="E187" s="4" t="s">
        <v>889</v>
      </c>
      <c r="F187" s="4" t="s">
        <v>890</v>
      </c>
      <c r="G187" s="4" t="n">
        <v>60</v>
      </c>
      <c r="H187" s="4" t="s">
        <v>359</v>
      </c>
      <c r="I187" s="22" t="n">
        <v>0.12</v>
      </c>
      <c r="J187" s="4" t="n">
        <v>77</v>
      </c>
      <c r="K187" s="4" t="n">
        <v>57</v>
      </c>
      <c r="L187" s="23" t="n">
        <f aca="false">IF(J187&gt;=5,K187/J187,"too few builds")</f>
        <v>0.74025974025974</v>
      </c>
      <c r="M187" s="22" t="n">
        <v>0</v>
      </c>
      <c r="N187" s="22" t="n">
        <v>0</v>
      </c>
      <c r="O187" s="4"/>
      <c r="P187" s="4" t="s">
        <v>1074</v>
      </c>
      <c r="Q187" s="4"/>
      <c r="R187" s="4" t="s">
        <v>1075</v>
      </c>
    </row>
    <row r="188" customFormat="false" ht="15" hidden="false" customHeight="false" outlineLevel="0" collapsed="false">
      <c r="A188" s="4" t="s">
        <v>1076</v>
      </c>
      <c r="B188" s="4" t="s">
        <v>1077</v>
      </c>
      <c r="C188" s="4" t="s">
        <v>379</v>
      </c>
      <c r="D188" s="4" t="s">
        <v>359</v>
      </c>
      <c r="E188" s="4" t="s">
        <v>1078</v>
      </c>
      <c r="F188" s="4" t="s">
        <v>1079</v>
      </c>
      <c r="G188" s="4" t="n">
        <v>50</v>
      </c>
      <c r="H188" s="4" t="s">
        <v>359</v>
      </c>
      <c r="I188" s="22" t="n">
        <v>0</v>
      </c>
      <c r="J188" s="4" t="n">
        <v>81</v>
      </c>
      <c r="K188" s="4" t="n">
        <v>12</v>
      </c>
      <c r="L188" s="23" t="n">
        <f aca="false">IF(J188&gt;=5,K188/J188,"too few builds")</f>
        <v>0.148148148148148</v>
      </c>
      <c r="M188" s="22" t="n">
        <v>0</v>
      </c>
      <c r="N188" s="22" t="n">
        <v>0</v>
      </c>
      <c r="O188" s="4"/>
      <c r="P188" s="4" t="s">
        <v>1080</v>
      </c>
      <c r="Q188" s="4"/>
      <c r="R188" s="4" t="s">
        <v>1081</v>
      </c>
    </row>
    <row r="189" customFormat="false" ht="15" hidden="false" customHeight="false" outlineLevel="0" collapsed="false">
      <c r="A189" s="4" t="s">
        <v>1082</v>
      </c>
      <c r="B189" s="4" t="s">
        <v>1083</v>
      </c>
      <c r="C189" s="4" t="s">
        <v>419</v>
      </c>
      <c r="D189" s="4" t="s">
        <v>359</v>
      </c>
      <c r="E189" s="4" t="s">
        <v>1084</v>
      </c>
      <c r="F189" s="4" t="s">
        <v>762</v>
      </c>
      <c r="G189" s="4" t="n">
        <v>40</v>
      </c>
      <c r="H189" s="4" t="s">
        <v>359</v>
      </c>
      <c r="I189" s="22" t="n">
        <v>0.03</v>
      </c>
      <c r="J189" s="4" t="n">
        <v>194</v>
      </c>
      <c r="K189" s="4" t="n">
        <v>19</v>
      </c>
      <c r="L189" s="23" t="n">
        <f aca="false">IF(J189&gt;=5,K189/J189,"too few builds")</f>
        <v>0.0979381443298969</v>
      </c>
      <c r="M189" s="22" t="n">
        <v>0</v>
      </c>
      <c r="N189" s="22" t="n">
        <v>0</v>
      </c>
      <c r="O189" s="4"/>
      <c r="P189" s="4" t="s">
        <v>885</v>
      </c>
      <c r="Q189" s="4"/>
      <c r="R189" s="4" t="s">
        <v>1085</v>
      </c>
    </row>
    <row r="190" customFormat="false" ht="15" hidden="false" customHeight="false" outlineLevel="0" collapsed="false">
      <c r="A190" s="4" t="s">
        <v>1086</v>
      </c>
      <c r="B190" s="4" t="s">
        <v>855</v>
      </c>
      <c r="C190" s="4" t="s">
        <v>379</v>
      </c>
      <c r="D190" s="4" t="s">
        <v>359</v>
      </c>
      <c r="E190" s="4" t="s">
        <v>857</v>
      </c>
      <c r="F190" s="4" t="s">
        <v>857</v>
      </c>
      <c r="G190" s="4" t="n">
        <v>50</v>
      </c>
      <c r="H190" s="4" t="s">
        <v>359</v>
      </c>
      <c r="I190" s="22" t="n">
        <v>0.55</v>
      </c>
      <c r="J190" s="4" t="n">
        <v>385</v>
      </c>
      <c r="K190" s="4" t="n">
        <v>266</v>
      </c>
      <c r="L190" s="23" t="n">
        <f aca="false">IF(J190&gt;=5,K190/J190,"too few builds")</f>
        <v>0.690909090909091</v>
      </c>
      <c r="M190" s="22" t="n">
        <v>0</v>
      </c>
      <c r="N190" s="22" t="n">
        <v>0</v>
      </c>
      <c r="O190" s="4"/>
      <c r="P190" s="4"/>
      <c r="Q190" s="4"/>
      <c r="R190" s="4" t="s">
        <v>1087</v>
      </c>
    </row>
    <row r="191" customFormat="false" ht="15" hidden="false" customHeight="false" outlineLevel="0" collapsed="false">
      <c r="A191" s="4" t="s">
        <v>1088</v>
      </c>
      <c r="B191" s="4" t="s">
        <v>594</v>
      </c>
      <c r="C191" s="4" t="s">
        <v>379</v>
      </c>
      <c r="D191" s="4" t="s">
        <v>359</v>
      </c>
      <c r="E191" s="4" t="s">
        <v>1089</v>
      </c>
      <c r="F191" s="4" t="s">
        <v>596</v>
      </c>
      <c r="G191" s="4" t="n">
        <v>60</v>
      </c>
      <c r="H191" s="4" t="s">
        <v>359</v>
      </c>
      <c r="I191" s="22" t="n">
        <v>0.04</v>
      </c>
      <c r="J191" s="4" t="n">
        <v>55</v>
      </c>
      <c r="K191" s="4" t="n">
        <v>19</v>
      </c>
      <c r="L191" s="23" t="n">
        <f aca="false">IF(J191&gt;=5,K191/J191,"too few builds")</f>
        <v>0.345454545454545</v>
      </c>
      <c r="M191" s="22" t="n">
        <v>0</v>
      </c>
      <c r="N191" s="22" t="n">
        <v>0</v>
      </c>
      <c r="O191" s="4"/>
      <c r="P191" s="4"/>
      <c r="Q191" s="4"/>
      <c r="R191" s="4" t="s">
        <v>1090</v>
      </c>
    </row>
    <row r="192" customFormat="false" ht="15" hidden="false" customHeight="false" outlineLevel="0" collapsed="false">
      <c r="A192" s="4" t="s">
        <v>1091</v>
      </c>
      <c r="B192" s="4" t="s">
        <v>1092</v>
      </c>
      <c r="C192" s="4" t="s">
        <v>379</v>
      </c>
      <c r="D192" s="4" t="s">
        <v>359</v>
      </c>
      <c r="E192" s="4" t="s">
        <v>1093</v>
      </c>
      <c r="F192" s="4" t="s">
        <v>1094</v>
      </c>
      <c r="G192" s="4" t="n">
        <v>180</v>
      </c>
      <c r="H192" s="4" t="s">
        <v>359</v>
      </c>
      <c r="I192" s="22" t="n">
        <v>0.05</v>
      </c>
      <c r="J192" s="4" t="n">
        <v>30</v>
      </c>
      <c r="K192" s="4" t="n">
        <v>25</v>
      </c>
      <c r="L192" s="23" t="n">
        <f aca="false">IF(J192&gt;=5,K192/J192,"too few builds")</f>
        <v>0.833333333333333</v>
      </c>
      <c r="M192" s="22" t="n">
        <v>0</v>
      </c>
      <c r="N192" s="22" t="n">
        <v>0</v>
      </c>
      <c r="O192" s="4"/>
      <c r="P192" s="4"/>
      <c r="Q192" s="4"/>
      <c r="R192" s="4" t="s">
        <v>1095</v>
      </c>
    </row>
    <row r="193" customFormat="false" ht="15" hidden="false" customHeight="false" outlineLevel="0" collapsed="false">
      <c r="A193" s="4" t="s">
        <v>1096</v>
      </c>
      <c r="B193" s="4" t="s">
        <v>1097</v>
      </c>
      <c r="C193" s="4" t="s">
        <v>379</v>
      </c>
      <c r="D193" s="4" t="s">
        <v>359</v>
      </c>
      <c r="E193" s="4" t="s">
        <v>1098</v>
      </c>
      <c r="F193" s="4" t="s">
        <v>1099</v>
      </c>
      <c r="G193" s="4" t="n">
        <v>65</v>
      </c>
      <c r="H193" s="4" t="s">
        <v>359</v>
      </c>
      <c r="I193" s="22" t="n">
        <v>0</v>
      </c>
      <c r="J193" s="4" t="n">
        <v>72</v>
      </c>
      <c r="K193" s="4" t="n">
        <v>2</v>
      </c>
      <c r="L193" s="23" t="n">
        <f aca="false">IF(J193&gt;=5,K193/J193,"too few builds")</f>
        <v>0.0277777777777778</v>
      </c>
      <c r="M193" s="22" t="n">
        <v>0</v>
      </c>
      <c r="N193" s="22" t="n">
        <v>0</v>
      </c>
      <c r="O193" s="4"/>
      <c r="P193" s="4"/>
      <c r="Q193" s="4"/>
      <c r="R193" s="4"/>
    </row>
    <row r="194" customFormat="false" ht="15" hidden="false" customHeight="false" outlineLevel="0" collapsed="false">
      <c r="A194" s="4" t="s">
        <v>1100</v>
      </c>
      <c r="B194" s="4" t="s">
        <v>1101</v>
      </c>
      <c r="C194" s="4" t="s">
        <v>332</v>
      </c>
      <c r="D194" s="4" t="s">
        <v>369</v>
      </c>
      <c r="E194" s="4" t="s">
        <v>1102</v>
      </c>
      <c r="F194" s="4" t="s">
        <v>371</v>
      </c>
      <c r="G194" s="4" t="n">
        <v>0</v>
      </c>
      <c r="H194" s="4" t="s">
        <v>369</v>
      </c>
      <c r="I194" s="22" t="n">
        <v>0</v>
      </c>
      <c r="J194" s="4" t="n">
        <v>12</v>
      </c>
      <c r="K194" s="4" t="n">
        <v>5</v>
      </c>
      <c r="L194" s="23" t="n">
        <f aca="false">IF(J194&gt;=5,K194/J194,"too few builds")</f>
        <v>0.416666666666667</v>
      </c>
      <c r="M194" s="22" t="n">
        <v>0</v>
      </c>
      <c r="N194" s="22" t="n">
        <v>0</v>
      </c>
      <c r="O194" s="4"/>
      <c r="P194" s="4"/>
      <c r="Q194" s="4"/>
      <c r="R194" s="4" t="s">
        <v>1103</v>
      </c>
    </row>
    <row r="195" customFormat="false" ht="15" hidden="false" customHeight="false" outlineLevel="0" collapsed="false">
      <c r="A195" s="4" t="s">
        <v>1104</v>
      </c>
      <c r="B195" s="4" t="s">
        <v>1077</v>
      </c>
      <c r="C195" s="4" t="s">
        <v>379</v>
      </c>
      <c r="D195" s="4" t="s">
        <v>359</v>
      </c>
      <c r="E195" s="4" t="s">
        <v>437</v>
      </c>
      <c r="F195" s="4" t="s">
        <v>437</v>
      </c>
      <c r="G195" s="4" t="n">
        <v>40</v>
      </c>
      <c r="H195" s="4" t="s">
        <v>359</v>
      </c>
      <c r="I195" s="22" t="n">
        <v>0.04</v>
      </c>
      <c r="J195" s="4" t="n">
        <v>129</v>
      </c>
      <c r="K195" s="4" t="n">
        <v>20</v>
      </c>
      <c r="L195" s="23" t="n">
        <f aca="false">IF(J195&gt;=5,K195/J195,"too few builds")</f>
        <v>0.155038759689922</v>
      </c>
      <c r="M195" s="22" t="n">
        <v>0</v>
      </c>
      <c r="N195" s="22" t="n">
        <v>0</v>
      </c>
      <c r="O195" s="4"/>
      <c r="P195" s="4" t="s">
        <v>1105</v>
      </c>
      <c r="Q195" s="4" t="s">
        <v>1106</v>
      </c>
      <c r="R195" s="4" t="s">
        <v>1107</v>
      </c>
    </row>
    <row r="196" customFormat="false" ht="15" hidden="false" customHeight="false" outlineLevel="0" collapsed="false">
      <c r="A196" s="4" t="s">
        <v>1108</v>
      </c>
      <c r="B196" s="4" t="s">
        <v>1109</v>
      </c>
      <c r="C196" s="4" t="s">
        <v>379</v>
      </c>
      <c r="D196" s="4" t="s">
        <v>359</v>
      </c>
      <c r="E196" s="4" t="s">
        <v>1110</v>
      </c>
      <c r="F196" s="4" t="s">
        <v>1110</v>
      </c>
      <c r="G196" s="4" t="n">
        <v>15</v>
      </c>
      <c r="H196" s="4" t="s">
        <v>359</v>
      </c>
      <c r="I196" s="22" t="n">
        <v>0.27</v>
      </c>
      <c r="J196" s="4" t="n">
        <v>327</v>
      </c>
      <c r="K196" s="4" t="n">
        <v>132</v>
      </c>
      <c r="L196" s="23" t="n">
        <f aca="false">IF(J196&gt;=5,K196/J196,"too few builds")</f>
        <v>0.403669724770642</v>
      </c>
      <c r="M196" s="22" t="n">
        <v>0</v>
      </c>
      <c r="N196" s="22" t="n">
        <v>0</v>
      </c>
      <c r="O196" s="4"/>
      <c r="P196" s="4" t="s">
        <v>1111</v>
      </c>
      <c r="Q196" s="4"/>
      <c r="R196" s="4" t="s">
        <v>1112</v>
      </c>
    </row>
    <row r="197" customFormat="false" ht="15" hidden="false" customHeight="false" outlineLevel="0" collapsed="false">
      <c r="A197" s="4" t="s">
        <v>1113</v>
      </c>
      <c r="B197" s="4" t="s">
        <v>1109</v>
      </c>
      <c r="C197" s="4" t="s">
        <v>379</v>
      </c>
      <c r="D197" s="4" t="s">
        <v>359</v>
      </c>
      <c r="E197" s="4" t="s">
        <v>1114</v>
      </c>
      <c r="F197" s="4" t="s">
        <v>1114</v>
      </c>
      <c r="G197" s="4" t="n">
        <v>35</v>
      </c>
      <c r="H197" s="4" t="s">
        <v>359</v>
      </c>
      <c r="I197" s="22" t="n">
        <v>0</v>
      </c>
      <c r="J197" s="4" t="n">
        <v>277</v>
      </c>
      <c r="K197" s="4" t="n">
        <v>4</v>
      </c>
      <c r="L197" s="23" t="n">
        <f aca="false">IF(J197&gt;=5,K197/J197,"too few builds")</f>
        <v>0.0144404332129964</v>
      </c>
      <c r="M197" s="22" t="n">
        <v>0</v>
      </c>
      <c r="N197" s="22" t="n">
        <v>0</v>
      </c>
      <c r="O197" s="4"/>
      <c r="P197" s="4"/>
      <c r="Q197" s="4"/>
      <c r="R197" s="4"/>
    </row>
    <row r="198" customFormat="false" ht="15" hidden="false" customHeight="false" outlineLevel="0" collapsed="false">
      <c r="A198" s="4" t="s">
        <v>1115</v>
      </c>
      <c r="B198" s="4" t="s">
        <v>364</v>
      </c>
      <c r="C198" s="4" t="s">
        <v>358</v>
      </c>
      <c r="D198" s="4" t="s">
        <v>359</v>
      </c>
      <c r="E198" s="4" t="s">
        <v>1116</v>
      </c>
      <c r="F198" s="4" t="s">
        <v>1116</v>
      </c>
      <c r="G198" s="4" t="n">
        <v>90</v>
      </c>
      <c r="H198" s="4" t="s">
        <v>359</v>
      </c>
      <c r="I198" s="22" t="n">
        <v>0.08</v>
      </c>
      <c r="J198" s="4" t="n">
        <v>57</v>
      </c>
      <c r="K198" s="4" t="n">
        <v>39</v>
      </c>
      <c r="L198" s="23" t="n">
        <f aca="false">IF(J198&gt;=5,K198/J198,"too few builds")</f>
        <v>0.68421052631579</v>
      </c>
      <c r="M198" s="22" t="n">
        <v>0</v>
      </c>
      <c r="N198" s="22" t="n">
        <v>0.05</v>
      </c>
      <c r="O198" s="4"/>
      <c r="P198" s="4"/>
      <c r="Q198" s="4"/>
      <c r="R198" s="4" t="s">
        <v>1117</v>
      </c>
    </row>
    <row r="199" customFormat="false" ht="15" hidden="false" customHeight="false" outlineLevel="0" collapsed="false">
      <c r="A199" s="4" t="s">
        <v>1118</v>
      </c>
      <c r="B199" s="4" t="s">
        <v>1119</v>
      </c>
      <c r="C199" s="4" t="s">
        <v>332</v>
      </c>
      <c r="D199" s="4" t="s">
        <v>369</v>
      </c>
      <c r="E199" s="4" t="s">
        <v>1120</v>
      </c>
      <c r="F199" s="4" t="s">
        <v>371</v>
      </c>
      <c r="G199" s="4" t="n">
        <v>0</v>
      </c>
      <c r="H199" s="4" t="s">
        <v>369</v>
      </c>
      <c r="I199" s="22" t="n">
        <v>0</v>
      </c>
      <c r="J199" s="4" t="n">
        <v>25</v>
      </c>
      <c r="K199" s="4" t="n">
        <v>6</v>
      </c>
      <c r="L199" s="23" t="n">
        <f aca="false">IF(J199&gt;=5,K199/J199,"too few builds")</f>
        <v>0.24</v>
      </c>
      <c r="M199" s="22" t="n">
        <v>0</v>
      </c>
      <c r="N199" s="22" t="n">
        <v>0</v>
      </c>
      <c r="O199" s="4"/>
      <c r="P199" s="4"/>
      <c r="Q199" s="4"/>
      <c r="R199" s="4"/>
    </row>
    <row r="200" customFormat="false" ht="15" hidden="false" customHeight="false" outlineLevel="0" collapsed="false">
      <c r="A200" s="4" t="s">
        <v>1121</v>
      </c>
      <c r="B200" s="4" t="s">
        <v>1122</v>
      </c>
      <c r="C200" s="4" t="s">
        <v>584</v>
      </c>
      <c r="D200" s="4" t="s">
        <v>369</v>
      </c>
      <c r="E200" s="4" t="s">
        <v>585</v>
      </c>
      <c r="F200" s="4" t="s">
        <v>371</v>
      </c>
      <c r="G200" s="4" t="n">
        <v>0</v>
      </c>
      <c r="H200" s="4" t="s">
        <v>369</v>
      </c>
      <c r="I200" s="22" t="n">
        <v>0</v>
      </c>
      <c r="J200" s="4" t="n">
        <v>500</v>
      </c>
      <c r="K200" s="4" t="n">
        <v>51</v>
      </c>
      <c r="L200" s="23" t="n">
        <f aca="false">IF(J200&gt;=5,K200/J200,"too few builds")</f>
        <v>0.102</v>
      </c>
      <c r="M200" s="22" t="n">
        <v>0</v>
      </c>
      <c r="N200" s="22" t="n">
        <v>0</v>
      </c>
      <c r="O200" s="4"/>
      <c r="P200" s="4"/>
      <c r="Q200" s="4"/>
      <c r="R200" s="4" t="s">
        <v>1123</v>
      </c>
    </row>
    <row r="201" customFormat="false" ht="15" hidden="false" customHeight="false" outlineLevel="0" collapsed="false">
      <c r="A201" s="4" t="s">
        <v>1124</v>
      </c>
      <c r="B201" s="4" t="s">
        <v>1109</v>
      </c>
      <c r="C201" s="4" t="s">
        <v>419</v>
      </c>
      <c r="D201" s="4" t="s">
        <v>359</v>
      </c>
      <c r="E201" s="4" t="s">
        <v>1125</v>
      </c>
      <c r="F201" s="4" t="s">
        <v>1125</v>
      </c>
      <c r="G201" s="4" t="n">
        <v>30</v>
      </c>
      <c r="H201" s="4" t="s">
        <v>359</v>
      </c>
      <c r="I201" s="22" t="n">
        <v>0.42</v>
      </c>
      <c r="J201" s="4" t="n">
        <v>258</v>
      </c>
      <c r="K201" s="4" t="n">
        <v>214</v>
      </c>
      <c r="L201" s="23" t="n">
        <f aca="false">IF(J201&gt;=5,K201/J201,"too few builds")</f>
        <v>0.829457364341085</v>
      </c>
      <c r="M201" s="22" t="n">
        <v>0</v>
      </c>
      <c r="N201" s="22" t="n">
        <v>0</v>
      </c>
      <c r="O201" s="4"/>
      <c r="P201" s="4"/>
      <c r="Q201" s="4"/>
      <c r="R201" s="4" t="s">
        <v>1126</v>
      </c>
    </row>
    <row r="202" customFormat="false" ht="15" hidden="false" customHeight="false" outlineLevel="0" collapsed="false">
      <c r="A202" s="4" t="s">
        <v>1127</v>
      </c>
      <c r="B202" s="4" t="s">
        <v>1128</v>
      </c>
      <c r="C202" s="4" t="s">
        <v>419</v>
      </c>
      <c r="D202" s="4" t="s">
        <v>359</v>
      </c>
      <c r="E202" s="4" t="s">
        <v>1129</v>
      </c>
      <c r="F202" s="4" t="s">
        <v>1130</v>
      </c>
      <c r="G202" s="4" t="n">
        <v>15</v>
      </c>
      <c r="H202" s="4" t="s">
        <v>359</v>
      </c>
      <c r="I202" s="22" t="n">
        <v>0.74</v>
      </c>
      <c r="J202" s="4" t="n">
        <v>417</v>
      </c>
      <c r="K202" s="4" t="n">
        <v>359</v>
      </c>
      <c r="L202" s="23" t="n">
        <f aca="false">IF(J202&gt;=5,K202/J202,"too few builds")</f>
        <v>0.860911270983213</v>
      </c>
      <c r="M202" s="22" t="n">
        <v>0</v>
      </c>
      <c r="N202" s="22" t="n">
        <v>0</v>
      </c>
      <c r="O202" s="4"/>
      <c r="P202" s="4"/>
      <c r="Q202" s="4"/>
      <c r="R202" s="4" t="s">
        <v>1131</v>
      </c>
    </row>
    <row r="203" customFormat="false" ht="15" hidden="false" customHeight="false" outlineLevel="0" collapsed="false">
      <c r="A203" s="4" t="s">
        <v>1132</v>
      </c>
      <c r="B203" s="4" t="s">
        <v>1133</v>
      </c>
      <c r="C203" s="4" t="s">
        <v>419</v>
      </c>
      <c r="D203" s="4" t="s">
        <v>359</v>
      </c>
      <c r="E203" s="4" t="s">
        <v>801</v>
      </c>
      <c r="F203" s="4" t="s">
        <v>801</v>
      </c>
      <c r="G203" s="4" t="n">
        <v>25</v>
      </c>
      <c r="H203" s="4" t="s">
        <v>359</v>
      </c>
      <c r="I203" s="22" t="n">
        <v>0.42</v>
      </c>
      <c r="J203" s="4" t="n">
        <v>314</v>
      </c>
      <c r="K203" s="4" t="n">
        <v>207</v>
      </c>
      <c r="L203" s="23" t="n">
        <f aca="false">IF(J203&gt;=5,K203/J203,"too few builds")</f>
        <v>0.659235668789809</v>
      </c>
      <c r="M203" s="22" t="n">
        <v>0</v>
      </c>
      <c r="N203" s="22" t="n">
        <v>0</v>
      </c>
      <c r="O203" s="4"/>
      <c r="P203" s="4"/>
      <c r="Q203" s="4"/>
      <c r="R203" s="4" t="s">
        <v>1134</v>
      </c>
    </row>
    <row r="204" customFormat="false" ht="15" hidden="false" customHeight="false" outlineLevel="0" collapsed="false">
      <c r="A204" s="4" t="s">
        <v>1135</v>
      </c>
      <c r="B204" s="4" t="s">
        <v>1136</v>
      </c>
      <c r="C204" s="4" t="s">
        <v>584</v>
      </c>
      <c r="D204" s="4" t="s">
        <v>369</v>
      </c>
      <c r="E204" s="4" t="s">
        <v>585</v>
      </c>
      <c r="F204" s="4" t="s">
        <v>371</v>
      </c>
      <c r="G204" s="4" t="n">
        <v>0</v>
      </c>
      <c r="H204" s="4" t="s">
        <v>369</v>
      </c>
      <c r="I204" s="22" t="n">
        <v>0</v>
      </c>
      <c r="J204" s="4" t="n">
        <v>500</v>
      </c>
      <c r="K204" s="4" t="n">
        <v>9</v>
      </c>
      <c r="L204" s="23" t="n">
        <f aca="false">IF(J204&gt;=5,K204/J204,"too few builds")</f>
        <v>0.018</v>
      </c>
      <c r="M204" s="22" t="n">
        <v>0</v>
      </c>
      <c r="N204" s="22" t="n">
        <v>0</v>
      </c>
      <c r="O204" s="4"/>
      <c r="P204" s="4"/>
      <c r="Q204" s="4"/>
      <c r="R204" s="4" t="s">
        <v>1137</v>
      </c>
    </row>
    <row r="205" customFormat="false" ht="15" hidden="false" customHeight="false" outlineLevel="0" collapsed="false">
      <c r="A205" s="4" t="s">
        <v>1138</v>
      </c>
      <c r="B205" s="4" t="s">
        <v>527</v>
      </c>
      <c r="C205" s="4" t="s">
        <v>419</v>
      </c>
      <c r="D205" s="4" t="s">
        <v>359</v>
      </c>
      <c r="E205" s="4" t="s">
        <v>1139</v>
      </c>
      <c r="F205" s="4" t="s">
        <v>1140</v>
      </c>
      <c r="G205" s="4" t="n">
        <v>180</v>
      </c>
      <c r="H205" s="4" t="s">
        <v>359</v>
      </c>
      <c r="I205" s="22" t="n">
        <v>0</v>
      </c>
      <c r="J205" s="4" t="n">
        <v>5</v>
      </c>
      <c r="K205" s="4" t="n">
        <v>3</v>
      </c>
      <c r="L205" s="23" t="n">
        <f aca="false">IF(J205&gt;=5,K205/J205,"too few builds")</f>
        <v>0.6</v>
      </c>
      <c r="M205" s="22" t="n">
        <v>0</v>
      </c>
      <c r="N205" s="22" t="n">
        <v>0</v>
      </c>
      <c r="O205" s="4"/>
      <c r="P205" s="4" t="s">
        <v>1141</v>
      </c>
      <c r="Q205" s="4" t="s">
        <v>1142</v>
      </c>
      <c r="R205" s="4" t="s">
        <v>1143</v>
      </c>
    </row>
    <row r="206" customFormat="false" ht="15" hidden="false" customHeight="false" outlineLevel="0" collapsed="false">
      <c r="A206" s="4" t="s">
        <v>1144</v>
      </c>
      <c r="B206" s="4" t="s">
        <v>1145</v>
      </c>
      <c r="C206" s="4" t="s">
        <v>419</v>
      </c>
      <c r="D206" s="4" t="s">
        <v>359</v>
      </c>
      <c r="E206" s="4" t="s">
        <v>1146</v>
      </c>
      <c r="F206" s="4" t="s">
        <v>1146</v>
      </c>
      <c r="G206" s="4" t="n">
        <v>40</v>
      </c>
      <c r="H206" s="4" t="s">
        <v>359</v>
      </c>
      <c r="I206" s="22" t="n">
        <v>0.84</v>
      </c>
      <c r="J206" s="4" t="n">
        <v>431</v>
      </c>
      <c r="K206" s="4" t="n">
        <v>412</v>
      </c>
      <c r="L206" s="23" t="n">
        <f aca="false">IF(J206&gt;=5,K206/J206,"too few builds")</f>
        <v>0.955916473317865</v>
      </c>
      <c r="M206" s="22" t="n">
        <v>0</v>
      </c>
      <c r="N206" s="22" t="n">
        <v>0</v>
      </c>
      <c r="O206" s="4"/>
      <c r="P206" s="4" t="s">
        <v>1147</v>
      </c>
      <c r="Q206" s="4"/>
      <c r="R206" s="4" t="s">
        <v>1148</v>
      </c>
    </row>
    <row r="207" customFormat="false" ht="15" hidden="false" customHeight="false" outlineLevel="0" collapsed="false">
      <c r="A207" s="4" t="s">
        <v>1149</v>
      </c>
      <c r="B207" s="4" t="s">
        <v>383</v>
      </c>
      <c r="C207" s="4" t="s">
        <v>379</v>
      </c>
      <c r="D207" s="4" t="s">
        <v>369</v>
      </c>
      <c r="E207" s="4" t="s">
        <v>1150</v>
      </c>
      <c r="F207" s="4" t="s">
        <v>648</v>
      </c>
      <c r="G207" s="4" t="n">
        <v>30</v>
      </c>
      <c r="H207" s="4" t="s">
        <v>359</v>
      </c>
      <c r="I207" s="22" t="n">
        <v>0.15</v>
      </c>
      <c r="J207" s="4" t="n">
        <v>87</v>
      </c>
      <c r="K207" s="4" t="n">
        <v>77</v>
      </c>
      <c r="L207" s="23" t="n">
        <f aca="false">IF(J207&gt;=5,K207/J207,"too few builds")</f>
        <v>0.885057471264368</v>
      </c>
      <c r="M207" s="22" t="n">
        <v>0</v>
      </c>
      <c r="N207" s="22" t="n">
        <v>0</v>
      </c>
      <c r="O207" s="4"/>
      <c r="P207" s="4"/>
      <c r="Q207" s="4"/>
      <c r="R207" s="4" t="s">
        <v>1151</v>
      </c>
    </row>
    <row r="208" customFormat="false" ht="15" hidden="false" customHeight="false" outlineLevel="0" collapsed="false">
      <c r="A208" s="4" t="s">
        <v>1152</v>
      </c>
      <c r="B208" s="4" t="s">
        <v>388</v>
      </c>
      <c r="C208" s="4" t="s">
        <v>379</v>
      </c>
      <c r="D208" s="4" t="s">
        <v>369</v>
      </c>
      <c r="E208" s="4" t="s">
        <v>1153</v>
      </c>
      <c r="F208" s="4" t="s">
        <v>1154</v>
      </c>
      <c r="G208" s="4" t="n">
        <v>30</v>
      </c>
      <c r="H208" s="4" t="s">
        <v>359</v>
      </c>
      <c r="I208" s="22" t="n">
        <v>0.16</v>
      </c>
      <c r="J208" s="4" t="n">
        <v>155</v>
      </c>
      <c r="K208" s="4" t="n">
        <v>76</v>
      </c>
      <c r="L208" s="23" t="n">
        <f aca="false">IF(J208&gt;=5,K208/J208,"too few builds")</f>
        <v>0.490322580645161</v>
      </c>
      <c r="M208" s="22" t="n">
        <v>0</v>
      </c>
      <c r="N208" s="22" t="n">
        <v>0</v>
      </c>
      <c r="O208" s="4"/>
      <c r="P208" s="4"/>
      <c r="Q208" s="4"/>
      <c r="R208" s="4" t="s">
        <v>1155</v>
      </c>
    </row>
    <row r="209" customFormat="false" ht="15" hidden="false" customHeight="false" outlineLevel="0" collapsed="false">
      <c r="A209" s="4" t="s">
        <v>1156</v>
      </c>
      <c r="B209" s="4" t="s">
        <v>393</v>
      </c>
      <c r="C209" s="4" t="s">
        <v>379</v>
      </c>
      <c r="D209" s="4" t="s">
        <v>369</v>
      </c>
      <c r="E209" s="4" t="s">
        <v>1157</v>
      </c>
      <c r="F209" s="4" t="s">
        <v>804</v>
      </c>
      <c r="G209" s="4" t="n">
        <v>30</v>
      </c>
      <c r="H209" s="4" t="s">
        <v>359</v>
      </c>
      <c r="I209" s="22" t="n">
        <v>0.16</v>
      </c>
      <c r="J209" s="4" t="n">
        <v>106</v>
      </c>
      <c r="K209" s="4" t="n">
        <v>69</v>
      </c>
      <c r="L209" s="23" t="n">
        <f aca="false">IF(J209&gt;=5,K209/J209,"too few builds")</f>
        <v>0.650943396226415</v>
      </c>
      <c r="M209" s="22" t="n">
        <v>0</v>
      </c>
      <c r="N209" s="22" t="n">
        <v>0</v>
      </c>
      <c r="O209" s="4"/>
      <c r="P209" s="4"/>
      <c r="Q209" s="4"/>
      <c r="R209" s="4" t="s">
        <v>1158</v>
      </c>
    </row>
    <row r="210" customFormat="false" ht="15" hidden="false" customHeight="false" outlineLevel="0" collapsed="false">
      <c r="A210" s="4" t="s">
        <v>1159</v>
      </c>
      <c r="B210" s="4" t="s">
        <v>398</v>
      </c>
      <c r="C210" s="4" t="s">
        <v>379</v>
      </c>
      <c r="D210" s="4" t="s">
        <v>369</v>
      </c>
      <c r="E210" s="4" t="s">
        <v>1160</v>
      </c>
      <c r="F210" s="4" t="s">
        <v>696</v>
      </c>
      <c r="G210" s="4" t="n">
        <v>30</v>
      </c>
      <c r="H210" s="4" t="s">
        <v>359</v>
      </c>
      <c r="I210" s="22" t="n">
        <v>0.13</v>
      </c>
      <c r="J210" s="4" t="n">
        <v>106</v>
      </c>
      <c r="K210" s="4" t="n">
        <v>49</v>
      </c>
      <c r="L210" s="23" t="n">
        <f aca="false">IF(J210&gt;=5,K210/J210,"too few builds")</f>
        <v>0.462264150943396</v>
      </c>
      <c r="M210" s="22" t="n">
        <v>0</v>
      </c>
      <c r="N210" s="22" t="n">
        <v>0</v>
      </c>
      <c r="O210" s="4"/>
      <c r="P210" s="4"/>
      <c r="Q210" s="4"/>
      <c r="R210" s="4" t="s">
        <v>1161</v>
      </c>
    </row>
    <row r="211" customFormat="false" ht="15" hidden="false" customHeight="false" outlineLevel="0" collapsed="false">
      <c r="A211" s="4" t="s">
        <v>1162</v>
      </c>
      <c r="B211" s="4" t="s">
        <v>403</v>
      </c>
      <c r="C211" s="4" t="s">
        <v>379</v>
      </c>
      <c r="D211" s="4" t="s">
        <v>369</v>
      </c>
      <c r="E211" s="4" t="s">
        <v>1163</v>
      </c>
      <c r="F211" s="4" t="s">
        <v>1164</v>
      </c>
      <c r="G211" s="4" t="n">
        <v>30</v>
      </c>
      <c r="H211" s="4" t="s">
        <v>359</v>
      </c>
      <c r="I211" s="22" t="n">
        <v>0.13</v>
      </c>
      <c r="J211" s="4" t="n">
        <v>79</v>
      </c>
      <c r="K211" s="4" t="n">
        <v>69</v>
      </c>
      <c r="L211" s="23" t="n">
        <f aca="false">IF(J211&gt;=5,K211/J211,"too few builds")</f>
        <v>0.873417721518987</v>
      </c>
      <c r="M211" s="22" t="n">
        <v>0</v>
      </c>
      <c r="N211" s="22" t="n">
        <v>0</v>
      </c>
      <c r="O211" s="4"/>
      <c r="P211" s="4"/>
      <c r="Q211" s="4"/>
      <c r="R211" s="4" t="s">
        <v>1165</v>
      </c>
    </row>
    <row r="212" customFormat="false" ht="15" hidden="false" customHeight="false" outlineLevel="0" collapsed="false">
      <c r="A212" s="4" t="s">
        <v>1166</v>
      </c>
      <c r="B212" s="4" t="s">
        <v>408</v>
      </c>
      <c r="C212" s="4" t="s">
        <v>379</v>
      </c>
      <c r="D212" s="4" t="s">
        <v>369</v>
      </c>
      <c r="E212" s="4" t="s">
        <v>1167</v>
      </c>
      <c r="F212" s="4" t="s">
        <v>1168</v>
      </c>
      <c r="G212" s="4" t="n">
        <v>30</v>
      </c>
      <c r="H212" s="4" t="s">
        <v>359</v>
      </c>
      <c r="I212" s="22" t="n">
        <v>0.08</v>
      </c>
      <c r="J212" s="4" t="n">
        <v>76</v>
      </c>
      <c r="K212" s="4" t="n">
        <v>41</v>
      </c>
      <c r="L212" s="23" t="n">
        <f aca="false">IF(J212&gt;=5,K212/J212,"too few builds")</f>
        <v>0.539473684210526</v>
      </c>
      <c r="M212" s="22" t="n">
        <v>0</v>
      </c>
      <c r="N212" s="22" t="n">
        <v>0</v>
      </c>
      <c r="O212" s="4"/>
      <c r="P212" s="4"/>
      <c r="Q212" s="4"/>
      <c r="R212" s="4" t="s">
        <v>1169</v>
      </c>
    </row>
    <row r="213" customFormat="false" ht="15" hidden="false" customHeight="false" outlineLevel="0" collapsed="false">
      <c r="A213" s="4" t="s">
        <v>1170</v>
      </c>
      <c r="B213" s="4" t="s">
        <v>413</v>
      </c>
      <c r="C213" s="4" t="s">
        <v>379</v>
      </c>
      <c r="D213" s="4" t="s">
        <v>369</v>
      </c>
      <c r="E213" s="4" t="s">
        <v>1171</v>
      </c>
      <c r="F213" s="4" t="s">
        <v>1172</v>
      </c>
      <c r="G213" s="4" t="n">
        <v>30</v>
      </c>
      <c r="H213" s="4" t="s">
        <v>359</v>
      </c>
      <c r="I213" s="22" t="n">
        <v>0.09</v>
      </c>
      <c r="J213" s="4" t="n">
        <v>94</v>
      </c>
      <c r="K213" s="4" t="n">
        <v>46</v>
      </c>
      <c r="L213" s="23" t="n">
        <f aca="false">IF(J213&gt;=5,K213/J213,"too few builds")</f>
        <v>0.48936170212766</v>
      </c>
      <c r="M213" s="22" t="n">
        <v>0</v>
      </c>
      <c r="N213" s="22" t="n">
        <v>0</v>
      </c>
      <c r="O213" s="4"/>
      <c r="P213" s="4"/>
      <c r="Q213" s="4"/>
      <c r="R213" s="4" t="s">
        <v>1173</v>
      </c>
    </row>
    <row r="214" customFormat="false" ht="15" hidden="false" customHeight="false" outlineLevel="0" collapsed="false">
      <c r="A214" s="4" t="s">
        <v>1174</v>
      </c>
      <c r="B214" s="4" t="s">
        <v>1175</v>
      </c>
      <c r="C214" s="4" t="s">
        <v>379</v>
      </c>
      <c r="D214" s="4" t="s">
        <v>359</v>
      </c>
      <c r="E214" s="4" t="s">
        <v>1176</v>
      </c>
      <c r="F214" s="4" t="s">
        <v>371</v>
      </c>
      <c r="G214" s="4" t="n">
        <v>0</v>
      </c>
      <c r="H214" s="4" t="s">
        <v>369</v>
      </c>
      <c r="I214" s="22" t="n">
        <v>0</v>
      </c>
      <c r="J214" s="4" t="n">
        <v>500</v>
      </c>
      <c r="K214" s="4" t="n">
        <v>9</v>
      </c>
      <c r="L214" s="23" t="n">
        <f aca="false">IF(J214&gt;=5,K214/J214,"too few builds")</f>
        <v>0.018</v>
      </c>
      <c r="M214" s="22" t="n">
        <v>0</v>
      </c>
      <c r="N214" s="22" t="n">
        <v>0</v>
      </c>
      <c r="O214" s="4"/>
      <c r="P214" s="4"/>
      <c r="Q214" s="4"/>
      <c r="R214" s="4" t="s">
        <v>1177</v>
      </c>
    </row>
    <row r="215" customFormat="false" ht="15" hidden="false" customHeight="false" outlineLevel="0" collapsed="false">
      <c r="A215" s="4" t="s">
        <v>1178</v>
      </c>
      <c r="B215" s="4" t="s">
        <v>1179</v>
      </c>
      <c r="C215" s="4" t="s">
        <v>379</v>
      </c>
      <c r="D215" s="4" t="s">
        <v>359</v>
      </c>
      <c r="E215" s="4" t="s">
        <v>1180</v>
      </c>
      <c r="F215" s="4" t="s">
        <v>1180</v>
      </c>
      <c r="G215" s="4" t="n">
        <v>45</v>
      </c>
      <c r="H215" s="4" t="s">
        <v>359</v>
      </c>
      <c r="I215" s="22" t="n">
        <v>0.11</v>
      </c>
      <c r="J215" s="4" t="n">
        <v>83</v>
      </c>
      <c r="K215" s="4" t="n">
        <v>50</v>
      </c>
      <c r="L215" s="23" t="n">
        <f aca="false">IF(J215&gt;=5,K215/J215,"too few builds")</f>
        <v>0.602409638554217</v>
      </c>
      <c r="M215" s="22" t="n">
        <v>0</v>
      </c>
      <c r="N215" s="22" t="n">
        <v>0</v>
      </c>
      <c r="O215" s="4"/>
      <c r="P215" s="4" t="s">
        <v>1181</v>
      </c>
      <c r="Q215" s="4"/>
      <c r="R215" s="4" t="s">
        <v>1182</v>
      </c>
    </row>
    <row r="216" customFormat="false" ht="15" hidden="false" customHeight="false" outlineLevel="0" collapsed="false">
      <c r="A216" s="4" t="s">
        <v>1183</v>
      </c>
      <c r="B216" s="4" t="s">
        <v>722</v>
      </c>
      <c r="C216" s="4" t="s">
        <v>379</v>
      </c>
      <c r="D216" s="4" t="s">
        <v>359</v>
      </c>
      <c r="E216" s="4" t="s">
        <v>723</v>
      </c>
      <c r="F216" s="4" t="s">
        <v>724</v>
      </c>
      <c r="G216" s="4" t="n">
        <v>80</v>
      </c>
      <c r="H216" s="4" t="s">
        <v>359</v>
      </c>
      <c r="I216" s="22" t="n">
        <v>0</v>
      </c>
      <c r="J216" s="4" t="n">
        <v>23</v>
      </c>
      <c r="K216" s="4" t="n">
        <v>15</v>
      </c>
      <c r="L216" s="23" t="n">
        <f aca="false">IF(J216&gt;=5,K216/J216,"too few builds")</f>
        <v>0.652173913043478</v>
      </c>
      <c r="M216" s="22" t="n">
        <v>0</v>
      </c>
      <c r="N216" s="22" t="n">
        <v>0</v>
      </c>
      <c r="O216" s="4"/>
      <c r="P216" s="4" t="s">
        <v>1184</v>
      </c>
      <c r="Q216" s="4"/>
      <c r="R216" s="4" t="s">
        <v>1185</v>
      </c>
    </row>
    <row r="217" customFormat="false" ht="15" hidden="false" customHeight="false" outlineLevel="0" collapsed="false">
      <c r="A217" s="4" t="s">
        <v>1186</v>
      </c>
      <c r="B217" s="4" t="s">
        <v>473</v>
      </c>
      <c r="C217" s="4" t="s">
        <v>379</v>
      </c>
      <c r="D217" s="4" t="s">
        <v>359</v>
      </c>
      <c r="E217" s="4" t="s">
        <v>1187</v>
      </c>
      <c r="F217" s="4" t="s">
        <v>1187</v>
      </c>
      <c r="G217" s="4" t="n">
        <v>60</v>
      </c>
      <c r="H217" s="4" t="s">
        <v>359</v>
      </c>
      <c r="I217" s="22" t="n">
        <v>0.11</v>
      </c>
      <c r="J217" s="4" t="n">
        <v>68</v>
      </c>
      <c r="K217" s="4" t="n">
        <v>49</v>
      </c>
      <c r="L217" s="23" t="n">
        <f aca="false">IF(J217&gt;=5,K217/J217,"too few builds")</f>
        <v>0.720588235294118</v>
      </c>
      <c r="M217" s="22" t="n">
        <v>0.1</v>
      </c>
      <c r="N217" s="22" t="n">
        <v>0</v>
      </c>
      <c r="O217" s="4"/>
      <c r="P217" s="4"/>
      <c r="Q217" s="4"/>
      <c r="R217" s="4" t="s">
        <v>1188</v>
      </c>
    </row>
    <row r="218" customFormat="false" ht="15" hidden="false" customHeight="false" outlineLevel="0" collapsed="false">
      <c r="A218" s="4" t="s">
        <v>1189</v>
      </c>
      <c r="B218" s="4" t="s">
        <v>1190</v>
      </c>
      <c r="C218" s="4" t="s">
        <v>419</v>
      </c>
      <c r="D218" s="4" t="s">
        <v>359</v>
      </c>
      <c r="E218" s="4" t="s">
        <v>1191</v>
      </c>
      <c r="F218" s="4" t="s">
        <v>1192</v>
      </c>
      <c r="G218" s="4" t="n">
        <v>120</v>
      </c>
      <c r="H218" s="4" t="s">
        <v>359</v>
      </c>
      <c r="I218" s="22" t="n">
        <v>0</v>
      </c>
      <c r="J218" s="4" t="n">
        <v>82</v>
      </c>
      <c r="K218" s="4" t="n">
        <v>6</v>
      </c>
      <c r="L218" s="23" t="n">
        <f aca="false">IF(J218&gt;=5,K218/J218,"too few builds")</f>
        <v>0.0731707317073171</v>
      </c>
      <c r="M218" s="22" t="n">
        <v>0</v>
      </c>
      <c r="N218" s="22" t="n">
        <v>0</v>
      </c>
      <c r="O218" s="4"/>
      <c r="P218" s="4"/>
      <c r="Q218" s="4"/>
      <c r="R218" s="4" t="s">
        <v>1193</v>
      </c>
    </row>
    <row r="219" customFormat="false" ht="15" hidden="false" customHeight="false" outlineLevel="0" collapsed="false">
      <c r="A219" s="4" t="s">
        <v>1194</v>
      </c>
      <c r="B219" s="4" t="s">
        <v>1175</v>
      </c>
      <c r="C219" s="4" t="s">
        <v>584</v>
      </c>
      <c r="D219" s="4" t="s">
        <v>369</v>
      </c>
      <c r="E219" s="4" t="s">
        <v>585</v>
      </c>
      <c r="F219" s="4" t="s">
        <v>371</v>
      </c>
      <c r="G219" s="4" t="n">
        <v>0</v>
      </c>
      <c r="H219" s="4" t="s">
        <v>369</v>
      </c>
      <c r="I219" s="22" t="n">
        <v>0.21</v>
      </c>
      <c r="J219" s="4" t="n">
        <v>500</v>
      </c>
      <c r="K219" s="4" t="n">
        <v>112</v>
      </c>
      <c r="L219" s="23" t="n">
        <f aca="false">IF(J219&gt;=5,K219/J219,"too few builds")</f>
        <v>0.224</v>
      </c>
      <c r="M219" s="22" t="n">
        <v>0</v>
      </c>
      <c r="N219" s="22" t="n">
        <v>0</v>
      </c>
      <c r="O219" s="4"/>
      <c r="P219" s="4"/>
      <c r="Q219" s="4"/>
      <c r="R219" s="4" t="s">
        <v>1195</v>
      </c>
    </row>
    <row r="220" customFormat="false" ht="15" hidden="false" customHeight="false" outlineLevel="0" collapsed="false">
      <c r="A220" s="4" t="s">
        <v>1196</v>
      </c>
      <c r="B220" s="4" t="s">
        <v>1197</v>
      </c>
      <c r="C220" s="4" t="s">
        <v>379</v>
      </c>
      <c r="D220" s="4" t="s">
        <v>359</v>
      </c>
      <c r="E220" s="4" t="s">
        <v>1198</v>
      </c>
      <c r="F220" s="4" t="s">
        <v>1199</v>
      </c>
      <c r="G220" s="4" t="n">
        <v>100</v>
      </c>
      <c r="H220" s="4" t="s">
        <v>359</v>
      </c>
      <c r="I220" s="22" t="n">
        <v>0</v>
      </c>
      <c r="J220" s="4" t="n">
        <v>24</v>
      </c>
      <c r="K220" s="4" t="n">
        <v>9</v>
      </c>
      <c r="L220" s="23" t="n">
        <f aca="false">IF(J220&gt;=5,K220/J220,"too few builds")</f>
        <v>0.375</v>
      </c>
      <c r="M220" s="22" t="n">
        <v>0</v>
      </c>
      <c r="N220" s="22" t="n">
        <v>0</v>
      </c>
      <c r="O220" s="4"/>
      <c r="P220" s="4"/>
      <c r="Q220" s="4"/>
      <c r="R220" s="4" t="s">
        <v>1200</v>
      </c>
    </row>
    <row r="221" customFormat="false" ht="15" hidden="false" customHeight="false" outlineLevel="0" collapsed="false">
      <c r="A221" s="4" t="s">
        <v>1201</v>
      </c>
      <c r="B221" s="4" t="s">
        <v>1201</v>
      </c>
      <c r="C221" s="4" t="s">
        <v>584</v>
      </c>
      <c r="D221" s="4" t="s">
        <v>369</v>
      </c>
      <c r="E221" s="4" t="s">
        <v>1202</v>
      </c>
      <c r="F221" s="4" t="s">
        <v>1203</v>
      </c>
      <c r="G221" s="4" t="n">
        <v>20</v>
      </c>
      <c r="H221" s="4" t="s">
        <v>359</v>
      </c>
      <c r="I221" s="22" t="n">
        <v>0</v>
      </c>
      <c r="J221" s="4" t="n">
        <v>141</v>
      </c>
      <c r="K221" s="4" t="n">
        <v>3</v>
      </c>
      <c r="L221" s="23" t="n">
        <f aca="false">IF(J221&gt;=5,K221/J221,"too few builds")</f>
        <v>0.0212765957446809</v>
      </c>
      <c r="M221" s="22" t="n">
        <v>0</v>
      </c>
      <c r="N221" s="22" t="n">
        <v>0</v>
      </c>
      <c r="O221" s="4"/>
      <c r="P221" s="4"/>
      <c r="Q221" s="4"/>
      <c r="R221" s="4" t="s">
        <v>1204</v>
      </c>
    </row>
    <row r="222" customFormat="false" ht="15" hidden="false" customHeight="false" outlineLevel="0" collapsed="false">
      <c r="A222" s="4" t="s">
        <v>1205</v>
      </c>
      <c r="B222" s="4" t="s">
        <v>1206</v>
      </c>
      <c r="C222" s="4" t="s">
        <v>379</v>
      </c>
      <c r="D222" s="4" t="s">
        <v>359</v>
      </c>
      <c r="E222" s="4" t="s">
        <v>1207</v>
      </c>
      <c r="F222" s="4" t="s">
        <v>1207</v>
      </c>
      <c r="G222" s="4" t="n">
        <v>20</v>
      </c>
      <c r="H222" s="4" t="s">
        <v>359</v>
      </c>
      <c r="I222" s="22" t="n">
        <v>0.66</v>
      </c>
      <c r="J222" s="4" t="n">
        <v>416</v>
      </c>
      <c r="K222" s="4" t="n">
        <v>326</v>
      </c>
      <c r="L222" s="23" t="n">
        <f aca="false">IF(J222&gt;=5,K222/J222,"too few builds")</f>
        <v>0.783653846153846</v>
      </c>
      <c r="M222" s="22" t="n">
        <v>0</v>
      </c>
      <c r="N222" s="22" t="n">
        <v>0</v>
      </c>
      <c r="O222" s="4"/>
      <c r="P222" s="4" t="s">
        <v>1208</v>
      </c>
      <c r="Q222" s="4"/>
      <c r="R222" s="4" t="s">
        <v>1209</v>
      </c>
    </row>
    <row r="223" customFormat="false" ht="15" hidden="false" customHeight="false" outlineLevel="0" collapsed="false">
      <c r="A223" s="4" t="s">
        <v>1210</v>
      </c>
      <c r="B223" s="4" t="s">
        <v>408</v>
      </c>
      <c r="C223" s="4" t="s">
        <v>379</v>
      </c>
      <c r="D223" s="4" t="s">
        <v>359</v>
      </c>
      <c r="E223" s="4" t="s">
        <v>1211</v>
      </c>
      <c r="F223" s="4" t="s">
        <v>1211</v>
      </c>
      <c r="G223" s="4" t="n">
        <v>50</v>
      </c>
      <c r="H223" s="4" t="s">
        <v>359</v>
      </c>
      <c r="I223" s="22" t="n">
        <v>0.08</v>
      </c>
      <c r="J223" s="4" t="n">
        <v>59</v>
      </c>
      <c r="K223" s="4" t="n">
        <v>42</v>
      </c>
      <c r="L223" s="23" t="n">
        <f aca="false">IF(J223&gt;=5,K223/J223,"too few builds")</f>
        <v>0.711864406779661</v>
      </c>
      <c r="M223" s="22" t="n">
        <v>0</v>
      </c>
      <c r="N223" s="22" t="n">
        <v>0</v>
      </c>
      <c r="O223" s="4"/>
      <c r="P223" s="4" t="s">
        <v>1212</v>
      </c>
      <c r="Q223" s="4"/>
      <c r="R223" s="4" t="s">
        <v>1213</v>
      </c>
    </row>
    <row r="224" customFormat="false" ht="15" hidden="false" customHeight="false" outlineLevel="0" collapsed="false">
      <c r="A224" s="4" t="s">
        <v>1214</v>
      </c>
      <c r="B224" s="4" t="s">
        <v>974</v>
      </c>
      <c r="C224" s="4" t="s">
        <v>379</v>
      </c>
      <c r="D224" s="4" t="s">
        <v>359</v>
      </c>
      <c r="E224" s="4" t="s">
        <v>1215</v>
      </c>
      <c r="F224" s="4" t="s">
        <v>1215</v>
      </c>
      <c r="G224" s="4" t="n">
        <v>90</v>
      </c>
      <c r="H224" s="4" t="s">
        <v>359</v>
      </c>
      <c r="I224" s="22" t="n">
        <v>0</v>
      </c>
      <c r="J224" s="4" t="n">
        <v>44</v>
      </c>
      <c r="K224" s="4" t="n">
        <v>13</v>
      </c>
      <c r="L224" s="23" t="n">
        <f aca="false">IF(J224&gt;=5,K224/J224,"too few builds")</f>
        <v>0.295454545454545</v>
      </c>
      <c r="M224" s="22" t="n">
        <v>0</v>
      </c>
      <c r="N224" s="22" t="n">
        <v>0</v>
      </c>
      <c r="O224" s="4"/>
      <c r="P224" s="4"/>
      <c r="Q224" s="4"/>
      <c r="R224" s="4" t="s">
        <v>1216</v>
      </c>
    </row>
    <row r="225" customFormat="false" ht="15" hidden="false" customHeight="false" outlineLevel="0" collapsed="false">
      <c r="A225" s="4" t="s">
        <v>1217</v>
      </c>
      <c r="B225" s="4" t="s">
        <v>383</v>
      </c>
      <c r="C225" s="4" t="s">
        <v>379</v>
      </c>
      <c r="D225" s="4" t="s">
        <v>359</v>
      </c>
      <c r="E225" s="4" t="s">
        <v>1218</v>
      </c>
      <c r="F225" s="4" t="s">
        <v>1218</v>
      </c>
      <c r="G225" s="4" t="n">
        <v>10</v>
      </c>
      <c r="H225" s="4" t="s">
        <v>359</v>
      </c>
      <c r="I225" s="22" t="n">
        <v>0.06</v>
      </c>
      <c r="J225" s="4" t="n">
        <v>89</v>
      </c>
      <c r="K225" s="4" t="n">
        <v>29</v>
      </c>
      <c r="L225" s="23" t="n">
        <f aca="false">IF(J225&gt;=5,K225/J225,"too few builds")</f>
        <v>0.325842696629214</v>
      </c>
      <c r="M225" s="22" t="n">
        <v>0</v>
      </c>
      <c r="N225" s="22" t="n">
        <v>0</v>
      </c>
      <c r="O225" s="4"/>
      <c r="P225" s="4"/>
      <c r="Q225" s="4"/>
      <c r="R225" s="4" t="s">
        <v>1219</v>
      </c>
    </row>
    <row r="226" customFormat="false" ht="15" hidden="false" customHeight="false" outlineLevel="0" collapsed="false">
      <c r="A226" s="4" t="s">
        <v>1220</v>
      </c>
      <c r="B226" s="4" t="s">
        <v>552</v>
      </c>
      <c r="C226" s="4" t="s">
        <v>379</v>
      </c>
      <c r="D226" s="4" t="s">
        <v>359</v>
      </c>
      <c r="E226" s="4" t="s">
        <v>1221</v>
      </c>
      <c r="F226" s="4" t="s">
        <v>1222</v>
      </c>
      <c r="G226" s="4" t="n">
        <v>65</v>
      </c>
      <c r="H226" s="4" t="s">
        <v>359</v>
      </c>
      <c r="I226" s="22" t="n">
        <v>0.07</v>
      </c>
      <c r="J226" s="4" t="n">
        <v>44</v>
      </c>
      <c r="K226" s="4" t="n">
        <v>32</v>
      </c>
      <c r="L226" s="23" t="n">
        <f aca="false">IF(J226&gt;=5,K226/J226,"too few builds")</f>
        <v>0.727272727272727</v>
      </c>
      <c r="M226" s="22" t="n">
        <v>0</v>
      </c>
      <c r="N226" s="22" t="n">
        <v>0</v>
      </c>
      <c r="O226" s="4"/>
      <c r="P226" s="4"/>
      <c r="Q226" s="4"/>
      <c r="R226" s="4" t="s">
        <v>1223</v>
      </c>
    </row>
    <row r="227" customFormat="false" ht="15" hidden="false" customHeight="false" outlineLevel="0" collapsed="false">
      <c r="A227" s="4" t="s">
        <v>1224</v>
      </c>
      <c r="B227" s="4" t="s">
        <v>1225</v>
      </c>
      <c r="C227" s="4" t="s">
        <v>584</v>
      </c>
      <c r="D227" s="4" t="s">
        <v>369</v>
      </c>
      <c r="E227" s="4" t="s">
        <v>585</v>
      </c>
      <c r="F227" s="4" t="s">
        <v>371</v>
      </c>
      <c r="G227" s="4" t="n">
        <v>0</v>
      </c>
      <c r="H227" s="4" t="s">
        <v>369</v>
      </c>
      <c r="I227" s="22" t="n">
        <v>0</v>
      </c>
      <c r="J227" s="4" t="n">
        <v>500</v>
      </c>
      <c r="K227" s="4" t="n">
        <v>5</v>
      </c>
      <c r="L227" s="23" t="n">
        <f aca="false">IF(J227&gt;=5,K227/J227,"too few builds")</f>
        <v>0.01</v>
      </c>
      <c r="M227" s="22" t="n">
        <v>0</v>
      </c>
      <c r="N227" s="22" t="n">
        <v>0</v>
      </c>
      <c r="O227" s="4"/>
      <c r="P227" s="4"/>
      <c r="Q227" s="4"/>
      <c r="R227" s="4" t="s">
        <v>1226</v>
      </c>
    </row>
    <row r="228" customFormat="false" ht="15" hidden="false" customHeight="false" outlineLevel="0" collapsed="false">
      <c r="A228" s="4" t="s">
        <v>1227</v>
      </c>
      <c r="B228" s="4" t="s">
        <v>1228</v>
      </c>
      <c r="C228" s="4" t="s">
        <v>419</v>
      </c>
      <c r="D228" s="4" t="s">
        <v>359</v>
      </c>
      <c r="E228" s="4" t="s">
        <v>585</v>
      </c>
      <c r="F228" s="4" t="s">
        <v>371</v>
      </c>
      <c r="G228" s="4" t="n">
        <v>0</v>
      </c>
      <c r="H228" s="4" t="s">
        <v>369</v>
      </c>
      <c r="I228" s="22" t="n">
        <v>0.69</v>
      </c>
      <c r="J228" s="4" t="n">
        <v>500</v>
      </c>
      <c r="K228" s="4" t="n">
        <v>349</v>
      </c>
      <c r="L228" s="23" t="n">
        <f aca="false">IF(J228&gt;=5,K228/J228,"too few builds")</f>
        <v>0.698</v>
      </c>
      <c r="M228" s="22" t="n">
        <v>0</v>
      </c>
      <c r="N228" s="22" t="n">
        <v>0</v>
      </c>
      <c r="O228" s="4"/>
      <c r="P228" s="4"/>
      <c r="Q228" s="4"/>
      <c r="R228" s="4" t="s">
        <v>1229</v>
      </c>
    </row>
    <row r="229" customFormat="false" ht="15" hidden="false" customHeight="false" outlineLevel="0" collapsed="false">
      <c r="A229" s="4" t="s">
        <v>1230</v>
      </c>
      <c r="B229" s="4" t="s">
        <v>740</v>
      </c>
      <c r="C229" s="4" t="s">
        <v>419</v>
      </c>
      <c r="D229" s="4" t="s">
        <v>359</v>
      </c>
      <c r="E229" s="4" t="s">
        <v>1231</v>
      </c>
      <c r="F229" s="4" t="s">
        <v>1231</v>
      </c>
      <c r="G229" s="4" t="n">
        <v>40</v>
      </c>
      <c r="H229" s="4" t="s">
        <v>359</v>
      </c>
      <c r="I229" s="22" t="n">
        <v>0.08</v>
      </c>
      <c r="J229" s="4" t="n">
        <v>115</v>
      </c>
      <c r="K229" s="4" t="n">
        <v>42</v>
      </c>
      <c r="L229" s="23" t="n">
        <f aca="false">IF(J229&gt;=5,K229/J229,"too few builds")</f>
        <v>0.365217391304348</v>
      </c>
      <c r="M229" s="22" t="n">
        <v>0</v>
      </c>
      <c r="N229" s="22" t="n">
        <v>0</v>
      </c>
      <c r="O229" s="4"/>
      <c r="P229" s="4" t="s">
        <v>1232</v>
      </c>
      <c r="Q229" s="4" t="s">
        <v>1233</v>
      </c>
      <c r="R229" s="4" t="s">
        <v>1234</v>
      </c>
    </row>
    <row r="230" customFormat="false" ht="15" hidden="false" customHeight="false" outlineLevel="0" collapsed="false">
      <c r="A230" s="4" t="s">
        <v>1235</v>
      </c>
      <c r="B230" s="4" t="s">
        <v>1236</v>
      </c>
      <c r="C230" s="4" t="s">
        <v>379</v>
      </c>
      <c r="D230" s="4" t="s">
        <v>359</v>
      </c>
      <c r="E230" s="4" t="s">
        <v>1237</v>
      </c>
      <c r="F230" s="4" t="s">
        <v>1237</v>
      </c>
      <c r="G230" s="4" t="n">
        <v>25</v>
      </c>
      <c r="H230" s="4" t="s">
        <v>359</v>
      </c>
      <c r="I230" s="22" t="n">
        <v>0.18</v>
      </c>
      <c r="J230" s="4" t="n">
        <v>158</v>
      </c>
      <c r="K230" s="4" t="n">
        <v>86</v>
      </c>
      <c r="L230" s="23" t="n">
        <f aca="false">IF(J230&gt;=5,K230/J230,"too few builds")</f>
        <v>0.544303797468354</v>
      </c>
      <c r="M230" s="22" t="n">
        <v>0.1</v>
      </c>
      <c r="N230" s="22" t="n">
        <v>0</v>
      </c>
      <c r="O230" s="4"/>
      <c r="P230" s="4" t="s">
        <v>1238</v>
      </c>
      <c r="Q230" s="4"/>
      <c r="R230" s="4" t="s">
        <v>1239</v>
      </c>
    </row>
    <row r="231" customFormat="false" ht="15" hidden="false" customHeight="false" outlineLevel="0" collapsed="false">
      <c r="A231" s="4" t="s">
        <v>1240</v>
      </c>
      <c r="B231" s="4" t="s">
        <v>432</v>
      </c>
      <c r="C231" s="4" t="s">
        <v>379</v>
      </c>
      <c r="D231" s="4" t="s">
        <v>369</v>
      </c>
      <c r="E231" s="4" t="s">
        <v>1241</v>
      </c>
      <c r="F231" s="4" t="s">
        <v>1242</v>
      </c>
      <c r="G231" s="4" t="n">
        <v>75</v>
      </c>
      <c r="H231" s="4" t="s">
        <v>359</v>
      </c>
      <c r="I231" s="22" t="n">
        <v>0.09</v>
      </c>
      <c r="J231" s="4" t="n">
        <v>69</v>
      </c>
      <c r="K231" s="4" t="n">
        <v>45</v>
      </c>
      <c r="L231" s="23" t="n">
        <f aca="false">IF(J231&gt;=5,K231/J231,"too few builds")</f>
        <v>0.652173913043478</v>
      </c>
      <c r="M231" s="22" t="n">
        <v>0</v>
      </c>
      <c r="N231" s="22" t="n">
        <v>0</v>
      </c>
      <c r="O231" s="4"/>
      <c r="P231" s="4"/>
      <c r="Q231" s="4"/>
      <c r="R231" s="4" t="s">
        <v>1243</v>
      </c>
    </row>
    <row r="232" customFormat="false" ht="15" hidden="false" customHeight="false" outlineLevel="0" collapsed="false">
      <c r="A232" s="4" t="s">
        <v>388</v>
      </c>
      <c r="B232" s="4" t="s">
        <v>388</v>
      </c>
      <c r="C232" s="4" t="s">
        <v>379</v>
      </c>
      <c r="D232" s="4" t="s">
        <v>369</v>
      </c>
      <c r="E232" s="4" t="s">
        <v>1244</v>
      </c>
      <c r="F232" s="4" t="s">
        <v>1244</v>
      </c>
      <c r="G232" s="4" t="n">
        <v>1</v>
      </c>
      <c r="H232" s="4" t="s">
        <v>359</v>
      </c>
      <c r="I232" s="22" t="n">
        <v>0.23</v>
      </c>
      <c r="J232" s="4" t="n">
        <v>171</v>
      </c>
      <c r="K232" s="4" t="n">
        <v>114</v>
      </c>
      <c r="L232" s="23" t="n">
        <f aca="false">IF(J232&gt;=5,K232/J232,"too few builds")</f>
        <v>0.666666666666667</v>
      </c>
      <c r="M232" s="22" t="n">
        <v>0</v>
      </c>
      <c r="N232" s="22" t="n">
        <v>0</v>
      </c>
      <c r="O232" s="4"/>
      <c r="P232" s="4"/>
      <c r="Q232" s="4"/>
      <c r="R232" s="4" t="s">
        <v>1245</v>
      </c>
    </row>
    <row r="233" customFormat="false" ht="15" hidden="false" customHeight="false" outlineLevel="0" collapsed="false">
      <c r="A233" s="4" t="s">
        <v>1246</v>
      </c>
      <c r="B233" s="4" t="s">
        <v>756</v>
      </c>
      <c r="C233" s="4" t="s">
        <v>379</v>
      </c>
      <c r="D233" s="4" t="s">
        <v>359</v>
      </c>
      <c r="E233" s="4" t="s">
        <v>1247</v>
      </c>
      <c r="F233" s="4" t="s">
        <v>1248</v>
      </c>
      <c r="G233" s="4" t="n">
        <v>65</v>
      </c>
      <c r="H233" s="4" t="s">
        <v>359</v>
      </c>
      <c r="I233" s="22" t="n">
        <v>0.03</v>
      </c>
      <c r="J233" s="4" t="n">
        <v>90</v>
      </c>
      <c r="K233" s="4" t="n">
        <v>16</v>
      </c>
      <c r="L233" s="23" t="n">
        <f aca="false">IF(J233&gt;=5,K233/J233,"too few builds")</f>
        <v>0.177777777777778</v>
      </c>
      <c r="M233" s="22" t="n">
        <v>0</v>
      </c>
      <c r="N233" s="22" t="n">
        <v>0</v>
      </c>
      <c r="O233" s="4"/>
      <c r="P233" s="4"/>
      <c r="Q233" s="4"/>
      <c r="R233" s="4" t="s">
        <v>1249</v>
      </c>
    </row>
    <row r="234" customFormat="false" ht="15" hidden="false" customHeight="false" outlineLevel="0" collapsed="false">
      <c r="A234" s="4" t="s">
        <v>1250</v>
      </c>
      <c r="B234" s="4" t="s">
        <v>1179</v>
      </c>
      <c r="C234" s="4" t="s">
        <v>379</v>
      </c>
      <c r="D234" s="4" t="s">
        <v>359</v>
      </c>
      <c r="E234" s="4" t="s">
        <v>1154</v>
      </c>
      <c r="F234" s="4" t="s">
        <v>1154</v>
      </c>
      <c r="G234" s="4" t="n">
        <v>30</v>
      </c>
      <c r="H234" s="4" t="s">
        <v>359</v>
      </c>
      <c r="I234" s="22" t="n">
        <v>0.22</v>
      </c>
      <c r="J234" s="4" t="n">
        <v>155</v>
      </c>
      <c r="K234" s="4" t="n">
        <v>110</v>
      </c>
      <c r="L234" s="23" t="n">
        <f aca="false">IF(J234&gt;=5,K234/J234,"too few builds")</f>
        <v>0.709677419354839</v>
      </c>
      <c r="M234" s="22" t="n">
        <v>0</v>
      </c>
      <c r="N234" s="22" t="n">
        <v>0</v>
      </c>
      <c r="O234" s="4"/>
      <c r="P234" s="4"/>
      <c r="Q234" s="4"/>
      <c r="R234" s="4" t="s">
        <v>1251</v>
      </c>
    </row>
    <row r="235" customFormat="false" ht="15" hidden="false" customHeight="false" outlineLevel="0" collapsed="false">
      <c r="A235" s="4" t="s">
        <v>1252</v>
      </c>
      <c r="B235" s="4" t="s">
        <v>1077</v>
      </c>
      <c r="C235" s="4" t="s">
        <v>379</v>
      </c>
      <c r="D235" s="4" t="s">
        <v>359</v>
      </c>
      <c r="E235" s="4" t="s">
        <v>1253</v>
      </c>
      <c r="F235" s="4" t="s">
        <v>1254</v>
      </c>
      <c r="G235" s="4" t="n">
        <v>55</v>
      </c>
      <c r="H235" s="4" t="s">
        <v>359</v>
      </c>
      <c r="I235" s="22" t="n">
        <v>0</v>
      </c>
      <c r="J235" s="4" t="n">
        <v>78</v>
      </c>
      <c r="K235" s="4" t="n">
        <v>13</v>
      </c>
      <c r="L235" s="23" t="n">
        <f aca="false">IF(J235&gt;=5,K235/J235,"too few builds")</f>
        <v>0.166666666666667</v>
      </c>
      <c r="M235" s="22" t="n">
        <v>0</v>
      </c>
      <c r="N235" s="22" t="n">
        <v>0</v>
      </c>
      <c r="O235" s="4"/>
      <c r="P235" s="4" t="s">
        <v>1255</v>
      </c>
      <c r="Q235" s="4"/>
      <c r="R235" s="4" t="s">
        <v>1256</v>
      </c>
    </row>
    <row r="236" customFormat="false" ht="15" hidden="false" customHeight="false" outlineLevel="0" collapsed="false">
      <c r="A236" s="4" t="s">
        <v>1257</v>
      </c>
      <c r="B236" s="4" t="s">
        <v>659</v>
      </c>
      <c r="C236" s="4" t="s">
        <v>379</v>
      </c>
      <c r="D236" s="4" t="s">
        <v>359</v>
      </c>
      <c r="E236" s="4" t="s">
        <v>661</v>
      </c>
      <c r="F236" s="4" t="s">
        <v>661</v>
      </c>
      <c r="G236" s="4" t="n">
        <v>60</v>
      </c>
      <c r="H236" s="4" t="s">
        <v>359</v>
      </c>
      <c r="I236" s="22" t="n">
        <v>0.07</v>
      </c>
      <c r="J236" s="4" t="n">
        <v>57</v>
      </c>
      <c r="K236" s="4" t="n">
        <v>32</v>
      </c>
      <c r="L236" s="23" t="n">
        <f aca="false">IF(J236&gt;=5,K236/J236,"too few builds")</f>
        <v>0.56140350877193</v>
      </c>
      <c r="M236" s="22" t="n">
        <v>0</v>
      </c>
      <c r="N236" s="22" t="n">
        <v>0</v>
      </c>
      <c r="O236" s="4"/>
      <c r="P236" s="4"/>
      <c r="Q236" s="4" t="s">
        <v>1258</v>
      </c>
      <c r="R236" s="4" t="s">
        <v>1259</v>
      </c>
    </row>
    <row r="237" customFormat="false" ht="15" hidden="false" customHeight="false" outlineLevel="0" collapsed="false">
      <c r="A237" s="4" t="s">
        <v>1260</v>
      </c>
      <c r="B237" s="4" t="s">
        <v>1261</v>
      </c>
      <c r="C237" s="4" t="s">
        <v>332</v>
      </c>
      <c r="D237" s="4" t="s">
        <v>369</v>
      </c>
      <c r="E237" s="4" t="s">
        <v>1262</v>
      </c>
      <c r="F237" s="4" t="s">
        <v>371</v>
      </c>
      <c r="G237" s="4" t="n">
        <v>0</v>
      </c>
      <c r="H237" s="4" t="s">
        <v>369</v>
      </c>
      <c r="I237" s="22" t="n">
        <v>0</v>
      </c>
      <c r="J237" s="4" t="n">
        <v>61</v>
      </c>
      <c r="K237" s="4" t="n">
        <v>24</v>
      </c>
      <c r="L237" s="23" t="n">
        <f aca="false">IF(J237&gt;=5,K237/J237,"too few builds")</f>
        <v>0.39344262295082</v>
      </c>
      <c r="M237" s="22" t="n">
        <v>0</v>
      </c>
      <c r="N237" s="22" t="n">
        <v>0</v>
      </c>
      <c r="O237" s="4"/>
      <c r="P237" s="4"/>
      <c r="Q237" s="4"/>
      <c r="R237" s="4" t="s">
        <v>1263</v>
      </c>
    </row>
    <row r="238" customFormat="false" ht="15" hidden="false" customHeight="false" outlineLevel="0" collapsed="false">
      <c r="A238" s="4" t="s">
        <v>1264</v>
      </c>
      <c r="B238" s="4" t="s">
        <v>215</v>
      </c>
      <c r="C238" s="4" t="s">
        <v>332</v>
      </c>
      <c r="D238" s="4" t="s">
        <v>369</v>
      </c>
      <c r="E238" s="4" t="s">
        <v>481</v>
      </c>
      <c r="F238" s="4" t="s">
        <v>371</v>
      </c>
      <c r="G238" s="4" t="n">
        <v>0</v>
      </c>
      <c r="H238" s="4" t="s">
        <v>369</v>
      </c>
      <c r="I238" s="22" t="n">
        <v>0</v>
      </c>
      <c r="J238" s="4" t="n">
        <v>51</v>
      </c>
      <c r="K238" s="4" t="n">
        <v>20</v>
      </c>
      <c r="L238" s="23" t="n">
        <f aca="false">IF(J238&gt;=5,K238/J238,"too few builds")</f>
        <v>0.392156862745098</v>
      </c>
      <c r="M238" s="22" t="n">
        <v>0</v>
      </c>
      <c r="N238" s="22" t="n">
        <v>0</v>
      </c>
      <c r="O238" s="4"/>
      <c r="P238" s="4"/>
      <c r="Q238" s="4"/>
      <c r="R238" s="4" t="s">
        <v>1265</v>
      </c>
    </row>
    <row r="239" customFormat="false" ht="15" hidden="false" customHeight="false" outlineLevel="0" collapsed="false">
      <c r="A239" s="4" t="s">
        <v>1266</v>
      </c>
      <c r="B239" s="4" t="s">
        <v>1267</v>
      </c>
      <c r="C239" s="4" t="s">
        <v>379</v>
      </c>
      <c r="D239" s="4" t="s">
        <v>359</v>
      </c>
      <c r="E239" s="4" t="s">
        <v>1268</v>
      </c>
      <c r="F239" s="4" t="s">
        <v>1269</v>
      </c>
      <c r="G239" s="4" t="n">
        <v>40</v>
      </c>
      <c r="H239" s="4" t="s">
        <v>359</v>
      </c>
      <c r="I239" s="22" t="n">
        <v>0</v>
      </c>
      <c r="J239" s="4" t="n">
        <v>136</v>
      </c>
      <c r="K239" s="4" t="n">
        <v>12</v>
      </c>
      <c r="L239" s="23" t="n">
        <f aca="false">IF(J239&gt;=5,K239/J239,"too few builds")</f>
        <v>0.0882352941176471</v>
      </c>
      <c r="M239" s="22" t="n">
        <v>0</v>
      </c>
      <c r="N239" s="22" t="n">
        <v>0</v>
      </c>
      <c r="O239" s="4"/>
      <c r="P239" s="4"/>
      <c r="Q239" s="4"/>
      <c r="R239" s="4" t="s">
        <v>1270</v>
      </c>
    </row>
    <row r="240" customFormat="false" ht="15" hidden="false" customHeight="false" outlineLevel="0" collapsed="false">
      <c r="A240" s="4" t="s">
        <v>1271</v>
      </c>
      <c r="B240" s="4" t="s">
        <v>1272</v>
      </c>
      <c r="C240" s="4" t="s">
        <v>379</v>
      </c>
      <c r="D240" s="4" t="s">
        <v>359</v>
      </c>
      <c r="E240" s="4" t="s">
        <v>1273</v>
      </c>
      <c r="F240" s="4" t="s">
        <v>1273</v>
      </c>
      <c r="G240" s="4" t="n">
        <v>50</v>
      </c>
      <c r="H240" s="4" t="s">
        <v>359</v>
      </c>
      <c r="I240" s="22" t="n">
        <v>0.07</v>
      </c>
      <c r="J240" s="4" t="n">
        <v>99</v>
      </c>
      <c r="K240" s="4" t="n">
        <v>35</v>
      </c>
      <c r="L240" s="23" t="n">
        <f aca="false">IF(J240&gt;=5,K240/J240,"too few builds")</f>
        <v>0.353535353535354</v>
      </c>
      <c r="M240" s="22" t="n">
        <v>0</v>
      </c>
      <c r="N240" s="22" t="n">
        <v>0</v>
      </c>
      <c r="O240" s="4"/>
      <c r="P240" s="4"/>
      <c r="Q240" s="4"/>
      <c r="R240" s="4" t="s">
        <v>1274</v>
      </c>
    </row>
    <row r="241" customFormat="false" ht="15" hidden="false" customHeight="false" outlineLevel="0" collapsed="false">
      <c r="A241" s="4" t="s">
        <v>1275</v>
      </c>
      <c r="B241" s="4" t="s">
        <v>1276</v>
      </c>
      <c r="C241" s="4" t="s">
        <v>332</v>
      </c>
      <c r="D241" s="4" t="s">
        <v>369</v>
      </c>
      <c r="E241" s="4" t="s">
        <v>1277</v>
      </c>
      <c r="F241" s="4" t="s">
        <v>371</v>
      </c>
      <c r="G241" s="4" t="n">
        <v>0</v>
      </c>
      <c r="H241" s="4" t="s">
        <v>369</v>
      </c>
      <c r="I241" s="22" t="n">
        <v>0</v>
      </c>
      <c r="J241" s="4" t="n">
        <v>59</v>
      </c>
      <c r="K241" s="4" t="n">
        <v>19</v>
      </c>
      <c r="L241" s="23" t="n">
        <f aca="false">IF(J241&gt;=5,K241/J241,"too few builds")</f>
        <v>0.322033898305085</v>
      </c>
      <c r="M241" s="22" t="n">
        <v>0</v>
      </c>
      <c r="N241" s="22" t="n">
        <v>0</v>
      </c>
      <c r="O241" s="4"/>
      <c r="P241" s="4"/>
      <c r="Q241" s="4"/>
      <c r="R241" s="4" t="s">
        <v>1278</v>
      </c>
    </row>
    <row r="242" customFormat="false" ht="15" hidden="false" customHeight="false" outlineLevel="0" collapsed="false">
      <c r="A242" s="4" t="s">
        <v>1279</v>
      </c>
      <c r="B242" s="4" t="s">
        <v>432</v>
      </c>
      <c r="C242" s="4" t="s">
        <v>379</v>
      </c>
      <c r="D242" s="4" t="s">
        <v>369</v>
      </c>
      <c r="E242" s="4" t="s">
        <v>1280</v>
      </c>
      <c r="F242" s="4" t="s">
        <v>1280</v>
      </c>
      <c r="G242" s="4" t="n">
        <v>75</v>
      </c>
      <c r="H242" s="4" t="s">
        <v>359</v>
      </c>
      <c r="I242" s="22" t="n">
        <v>0.09</v>
      </c>
      <c r="J242" s="4" t="n">
        <v>126</v>
      </c>
      <c r="K242" s="4" t="n">
        <v>40</v>
      </c>
      <c r="L242" s="23" t="n">
        <f aca="false">IF(J242&gt;=5,K242/J242,"too few builds")</f>
        <v>0.317460317460317</v>
      </c>
      <c r="M242" s="22" t="n">
        <v>0</v>
      </c>
      <c r="N242" s="22" t="n">
        <v>0</v>
      </c>
      <c r="O242" s="4"/>
      <c r="P242" s="4"/>
      <c r="Q242" s="4"/>
      <c r="R242" s="4" t="s">
        <v>1281</v>
      </c>
    </row>
    <row r="243" customFormat="false" ht="15" hidden="false" customHeight="false" outlineLevel="0" collapsed="false">
      <c r="A243" s="4" t="s">
        <v>1282</v>
      </c>
      <c r="B243" s="4" t="s">
        <v>803</v>
      </c>
      <c r="C243" s="4" t="s">
        <v>379</v>
      </c>
      <c r="D243" s="4" t="s">
        <v>359</v>
      </c>
      <c r="E243" s="4" t="s">
        <v>914</v>
      </c>
      <c r="F243" s="4" t="s">
        <v>914</v>
      </c>
      <c r="G243" s="4" t="n">
        <v>60</v>
      </c>
      <c r="H243" s="4" t="s">
        <v>359</v>
      </c>
      <c r="I243" s="22" t="n">
        <v>0.08</v>
      </c>
      <c r="J243" s="4" t="n">
        <v>75</v>
      </c>
      <c r="K243" s="4" t="n">
        <v>34</v>
      </c>
      <c r="L243" s="23" t="n">
        <f aca="false">IF(J243&gt;=5,K243/J243,"too few builds")</f>
        <v>0.453333333333333</v>
      </c>
      <c r="M243" s="22" t="n">
        <v>0</v>
      </c>
      <c r="N243" s="22" t="n">
        <v>0</v>
      </c>
      <c r="O243" s="4"/>
      <c r="P243" s="4" t="s">
        <v>1283</v>
      </c>
      <c r="Q243" s="4"/>
      <c r="R243" s="4" t="s">
        <v>1284</v>
      </c>
    </row>
    <row r="244" customFormat="false" ht="15" hidden="false" customHeight="false" outlineLevel="0" collapsed="false">
      <c r="A244" s="4" t="s">
        <v>1285</v>
      </c>
      <c r="B244" s="4" t="s">
        <v>1286</v>
      </c>
      <c r="C244" s="4" t="s">
        <v>379</v>
      </c>
      <c r="D244" s="4" t="s">
        <v>359</v>
      </c>
      <c r="E244" s="4" t="s">
        <v>1287</v>
      </c>
      <c r="F244" s="4" t="s">
        <v>1288</v>
      </c>
      <c r="G244" s="4" t="n">
        <v>80</v>
      </c>
      <c r="H244" s="4" t="s">
        <v>359</v>
      </c>
      <c r="I244" s="22" t="n">
        <v>0.03</v>
      </c>
      <c r="J244" s="4" t="n">
        <v>24</v>
      </c>
      <c r="K244" s="4" t="n">
        <v>15</v>
      </c>
      <c r="L244" s="23" t="n">
        <f aca="false">IF(J244&gt;=5,K244/J244,"too few builds")</f>
        <v>0.625</v>
      </c>
      <c r="M244" s="22" t="n">
        <v>0</v>
      </c>
      <c r="N244" s="22" t="n">
        <v>0</v>
      </c>
      <c r="O244" s="4"/>
      <c r="P244" s="4" t="s">
        <v>1289</v>
      </c>
      <c r="Q244" s="4"/>
      <c r="R244" s="4" t="s">
        <v>1290</v>
      </c>
    </row>
    <row r="245" customFormat="false" ht="15" hidden="false" customHeight="false" outlineLevel="0" collapsed="false">
      <c r="A245" s="4" t="s">
        <v>1291</v>
      </c>
      <c r="B245" s="4" t="s">
        <v>988</v>
      </c>
      <c r="C245" s="4" t="s">
        <v>379</v>
      </c>
      <c r="D245" s="4" t="s">
        <v>359</v>
      </c>
      <c r="E245" s="4" t="s">
        <v>989</v>
      </c>
      <c r="F245" s="4" t="s">
        <v>989</v>
      </c>
      <c r="G245" s="4" t="n">
        <v>50</v>
      </c>
      <c r="H245" s="4" t="s">
        <v>359</v>
      </c>
      <c r="I245" s="22" t="n">
        <v>0</v>
      </c>
      <c r="J245" s="4" t="n">
        <v>126</v>
      </c>
      <c r="K245" s="4" t="n">
        <v>11</v>
      </c>
      <c r="L245" s="23" t="n">
        <f aca="false">IF(J245&gt;=5,K245/J245,"too few builds")</f>
        <v>0.0873015873015873</v>
      </c>
      <c r="M245" s="22" t="n">
        <v>0</v>
      </c>
      <c r="N245" s="22" t="n">
        <v>0</v>
      </c>
      <c r="O245" s="4"/>
      <c r="P245" s="4"/>
      <c r="Q245" s="4"/>
      <c r="R245" s="4" t="s">
        <v>1292</v>
      </c>
    </row>
    <row r="246" customFormat="false" ht="15" hidden="false" customHeight="false" outlineLevel="0" collapsed="false">
      <c r="A246" s="4" t="s">
        <v>1293</v>
      </c>
      <c r="B246" s="4" t="s">
        <v>565</v>
      </c>
      <c r="C246" s="4" t="s">
        <v>379</v>
      </c>
      <c r="D246" s="4" t="s">
        <v>359</v>
      </c>
      <c r="E246" s="4" t="s">
        <v>1294</v>
      </c>
      <c r="F246" s="4" t="s">
        <v>554</v>
      </c>
      <c r="G246" s="4" t="n">
        <v>60</v>
      </c>
      <c r="H246" s="4" t="s">
        <v>359</v>
      </c>
      <c r="I246" s="22" t="n">
        <v>0.04</v>
      </c>
      <c r="J246" s="4" t="n">
        <v>46</v>
      </c>
      <c r="K246" s="4" t="n">
        <v>11</v>
      </c>
      <c r="L246" s="23" t="n">
        <f aca="false">IF(J246&gt;=5,K246/J246,"too few builds")</f>
        <v>0.239130434782609</v>
      </c>
      <c r="M246" s="22" t="n">
        <v>0</v>
      </c>
      <c r="N246" s="22" t="n">
        <v>0</v>
      </c>
      <c r="O246" s="4"/>
      <c r="P246" s="4"/>
      <c r="Q246" s="4"/>
      <c r="R246" s="4"/>
    </row>
    <row r="247" customFormat="false" ht="15" hidden="false" customHeight="false" outlineLevel="0" collapsed="false">
      <c r="A247" s="4" t="s">
        <v>1295</v>
      </c>
      <c r="B247" s="4" t="s">
        <v>667</v>
      </c>
      <c r="C247" s="4" t="s">
        <v>379</v>
      </c>
      <c r="D247" s="4" t="s">
        <v>359</v>
      </c>
      <c r="E247" s="4" t="s">
        <v>1296</v>
      </c>
      <c r="F247" s="4" t="s">
        <v>1296</v>
      </c>
      <c r="G247" s="4" t="n">
        <v>60</v>
      </c>
      <c r="H247" s="4" t="s">
        <v>359</v>
      </c>
      <c r="I247" s="22" t="n">
        <v>0</v>
      </c>
      <c r="J247" s="4" t="n">
        <v>19</v>
      </c>
      <c r="K247" s="4" t="n">
        <v>5</v>
      </c>
      <c r="L247" s="23" t="n">
        <f aca="false">IF(J247&gt;=5,K247/J247,"too few builds")</f>
        <v>0.263157894736842</v>
      </c>
      <c r="M247" s="22" t="n">
        <v>0</v>
      </c>
      <c r="N247" s="22" t="n">
        <v>0</v>
      </c>
      <c r="O247" s="4"/>
      <c r="P247" s="4"/>
      <c r="Q247" s="4"/>
      <c r="R247" s="4" t="s">
        <v>1297</v>
      </c>
    </row>
    <row r="248" customFormat="false" ht="15" hidden="false" customHeight="false" outlineLevel="0" collapsed="false">
      <c r="A248" s="4" t="s">
        <v>1298</v>
      </c>
      <c r="B248" s="4" t="s">
        <v>667</v>
      </c>
      <c r="C248" s="4" t="s">
        <v>379</v>
      </c>
      <c r="D248" s="4" t="s">
        <v>359</v>
      </c>
      <c r="E248" s="4" t="s">
        <v>669</v>
      </c>
      <c r="F248" s="4" t="s">
        <v>669</v>
      </c>
      <c r="G248" s="4" t="n">
        <v>25</v>
      </c>
      <c r="H248" s="4" t="s">
        <v>359</v>
      </c>
      <c r="I248" s="22" t="n">
        <v>0.17</v>
      </c>
      <c r="J248" s="4" t="n">
        <v>106</v>
      </c>
      <c r="K248" s="4" t="n">
        <v>73</v>
      </c>
      <c r="L248" s="23" t="n">
        <f aca="false">IF(J248&gt;=5,K248/J248,"too few builds")</f>
        <v>0.688679245283019</v>
      </c>
      <c r="M248" s="22" t="n">
        <v>0</v>
      </c>
      <c r="N248" s="22" t="n">
        <v>0</v>
      </c>
      <c r="O248" s="4"/>
      <c r="P248" s="4"/>
      <c r="Q248" s="4"/>
      <c r="R248" s="4" t="s">
        <v>1299</v>
      </c>
    </row>
    <row r="249" customFormat="false" ht="15" hidden="false" customHeight="false" outlineLevel="0" collapsed="false">
      <c r="A249" s="4" t="s">
        <v>1300</v>
      </c>
      <c r="B249" s="4" t="s">
        <v>432</v>
      </c>
      <c r="C249" s="4" t="s">
        <v>379</v>
      </c>
      <c r="D249" s="4" t="s">
        <v>369</v>
      </c>
      <c r="E249" s="4" t="s">
        <v>1301</v>
      </c>
      <c r="F249" s="4" t="s">
        <v>1302</v>
      </c>
      <c r="G249" s="4" t="n">
        <v>75</v>
      </c>
      <c r="H249" s="4" t="s">
        <v>359</v>
      </c>
      <c r="I249" s="22" t="n">
        <v>0.08</v>
      </c>
      <c r="J249" s="4" t="n">
        <v>56</v>
      </c>
      <c r="K249" s="4" t="n">
        <v>34</v>
      </c>
      <c r="L249" s="23" t="n">
        <f aca="false">IF(J249&gt;=5,K249/J249,"too few builds")</f>
        <v>0.607142857142857</v>
      </c>
      <c r="M249" s="22" t="n">
        <v>0</v>
      </c>
      <c r="N249" s="22" t="n">
        <v>0</v>
      </c>
      <c r="O249" s="4"/>
      <c r="P249" s="4"/>
      <c r="Q249" s="4"/>
      <c r="R249" s="4" t="s">
        <v>1303</v>
      </c>
    </row>
    <row r="250" customFormat="false" ht="15" hidden="false" customHeight="false" outlineLevel="0" collapsed="false">
      <c r="A250" s="4" t="s">
        <v>393</v>
      </c>
      <c r="B250" s="4" t="s">
        <v>393</v>
      </c>
      <c r="C250" s="4" t="s">
        <v>379</v>
      </c>
      <c r="D250" s="4" t="s">
        <v>369</v>
      </c>
      <c r="E250" s="4" t="s">
        <v>1304</v>
      </c>
      <c r="F250" s="4" t="s">
        <v>1304</v>
      </c>
      <c r="G250" s="4" t="n">
        <v>1</v>
      </c>
      <c r="H250" s="4" t="s">
        <v>359</v>
      </c>
      <c r="I250" s="22" t="n">
        <v>0.17</v>
      </c>
      <c r="J250" s="4" t="n">
        <v>120</v>
      </c>
      <c r="K250" s="4" t="n">
        <v>78</v>
      </c>
      <c r="L250" s="23" t="n">
        <f aca="false">IF(J250&gt;=5,K250/J250,"too few builds")</f>
        <v>0.65</v>
      </c>
      <c r="M250" s="22" t="n">
        <v>0</v>
      </c>
      <c r="N250" s="22" t="n">
        <v>0</v>
      </c>
      <c r="O250" s="4"/>
      <c r="P250" s="4"/>
      <c r="Q250" s="4"/>
      <c r="R250" s="4" t="s">
        <v>1305</v>
      </c>
    </row>
    <row r="251" customFormat="false" ht="15" hidden="false" customHeight="false" outlineLevel="0" collapsed="false">
      <c r="A251" s="4" t="s">
        <v>1306</v>
      </c>
      <c r="B251" s="4" t="s">
        <v>667</v>
      </c>
      <c r="C251" s="4" t="s">
        <v>379</v>
      </c>
      <c r="D251" s="4" t="s">
        <v>359</v>
      </c>
      <c r="E251" s="4" t="s">
        <v>1307</v>
      </c>
      <c r="F251" s="4" t="s">
        <v>1308</v>
      </c>
      <c r="G251" s="4" t="n">
        <v>200</v>
      </c>
      <c r="H251" s="4" t="s">
        <v>359</v>
      </c>
      <c r="I251" s="22" t="n">
        <v>0</v>
      </c>
      <c r="J251" s="4" t="n">
        <v>7</v>
      </c>
      <c r="K251" s="4" t="n">
        <v>4</v>
      </c>
      <c r="L251" s="23" t="n">
        <f aca="false">IF(J251&gt;=5,K251/J251,"too few builds")</f>
        <v>0.571428571428571</v>
      </c>
      <c r="M251" s="22" t="n">
        <v>0</v>
      </c>
      <c r="N251" s="22" t="n">
        <v>0</v>
      </c>
      <c r="O251" s="4"/>
      <c r="P251" s="4" t="s">
        <v>1309</v>
      </c>
      <c r="Q251" s="4"/>
      <c r="R251" s="4" t="s">
        <v>1310</v>
      </c>
    </row>
    <row r="252" customFormat="false" ht="15" hidden="false" customHeight="false" outlineLevel="0" collapsed="false">
      <c r="A252" s="4" t="s">
        <v>1311</v>
      </c>
      <c r="B252" s="4" t="s">
        <v>1312</v>
      </c>
      <c r="C252" s="4" t="s">
        <v>419</v>
      </c>
      <c r="D252" s="4" t="s">
        <v>359</v>
      </c>
      <c r="E252" s="4" t="s">
        <v>914</v>
      </c>
      <c r="F252" s="4" t="s">
        <v>914</v>
      </c>
      <c r="G252" s="4" t="n">
        <v>60</v>
      </c>
      <c r="H252" s="4" t="s">
        <v>359</v>
      </c>
      <c r="I252" s="22" t="n">
        <v>0.07</v>
      </c>
      <c r="J252" s="4" t="n">
        <v>75</v>
      </c>
      <c r="K252" s="4" t="n">
        <v>34</v>
      </c>
      <c r="L252" s="23" t="n">
        <f aca="false">IF(J252&gt;=5,K252/J252,"too few builds")</f>
        <v>0.453333333333333</v>
      </c>
      <c r="M252" s="22" t="n">
        <v>0</v>
      </c>
      <c r="N252" s="22" t="n">
        <v>0</v>
      </c>
      <c r="O252" s="4"/>
      <c r="P252" s="4" t="s">
        <v>1313</v>
      </c>
      <c r="Q252" s="4"/>
      <c r="R252" s="4" t="s">
        <v>1314</v>
      </c>
    </row>
    <row r="253" customFormat="false" ht="15" hidden="false" customHeight="false" outlineLevel="0" collapsed="false">
      <c r="A253" s="4" t="s">
        <v>1315</v>
      </c>
      <c r="B253" s="4" t="s">
        <v>667</v>
      </c>
      <c r="C253" s="4" t="s">
        <v>419</v>
      </c>
      <c r="D253" s="4" t="s">
        <v>359</v>
      </c>
      <c r="E253" s="4" t="s">
        <v>1316</v>
      </c>
      <c r="F253" s="4" t="s">
        <v>914</v>
      </c>
      <c r="G253" s="4" t="n">
        <v>60</v>
      </c>
      <c r="H253" s="4" t="s">
        <v>359</v>
      </c>
      <c r="I253" s="22" t="n">
        <v>0.06</v>
      </c>
      <c r="J253" s="4" t="n">
        <v>75</v>
      </c>
      <c r="K253" s="4" t="n">
        <v>25</v>
      </c>
      <c r="L253" s="23" t="n">
        <f aca="false">IF(J253&gt;=5,K253/J253,"too few builds")</f>
        <v>0.333333333333333</v>
      </c>
      <c r="M253" s="22" t="n">
        <v>0</v>
      </c>
      <c r="N253" s="22" t="n">
        <v>0</v>
      </c>
      <c r="O253" s="4"/>
      <c r="P253" s="4" t="s">
        <v>1317</v>
      </c>
      <c r="Q253" s="4"/>
      <c r="R253" s="4" t="s">
        <v>1318</v>
      </c>
    </row>
    <row r="254" customFormat="false" ht="15" hidden="false" customHeight="false" outlineLevel="0" collapsed="false">
      <c r="A254" s="4" t="s">
        <v>1319</v>
      </c>
      <c r="B254" s="4" t="s">
        <v>1320</v>
      </c>
      <c r="C254" s="4" t="s">
        <v>379</v>
      </c>
      <c r="D254" s="4" t="s">
        <v>359</v>
      </c>
      <c r="E254" s="4" t="s">
        <v>1321</v>
      </c>
      <c r="F254" s="4" t="s">
        <v>1322</v>
      </c>
      <c r="G254" s="4" t="n">
        <v>95</v>
      </c>
      <c r="H254" s="4" t="s">
        <v>359</v>
      </c>
      <c r="I254" s="22" t="n">
        <v>0</v>
      </c>
      <c r="J254" s="4" t="n">
        <v>10</v>
      </c>
      <c r="K254" s="4" t="n">
        <v>4</v>
      </c>
      <c r="L254" s="23" t="n">
        <f aca="false">IF(J254&gt;=5,K254/J254,"too few builds")</f>
        <v>0.4</v>
      </c>
      <c r="M254" s="22" t="n">
        <v>0</v>
      </c>
      <c r="N254" s="22" t="n">
        <v>0</v>
      </c>
      <c r="O254" s="4"/>
      <c r="P254" s="4" t="s">
        <v>1309</v>
      </c>
      <c r="Q254" s="4"/>
      <c r="R254" s="4" t="s">
        <v>1323</v>
      </c>
    </row>
    <row r="255" customFormat="false" ht="15" hidden="false" customHeight="false" outlineLevel="0" collapsed="false">
      <c r="A255" s="4" t="s">
        <v>1324</v>
      </c>
      <c r="B255" s="4" t="s">
        <v>1325</v>
      </c>
      <c r="C255" s="4" t="s">
        <v>379</v>
      </c>
      <c r="D255" s="4" t="s">
        <v>359</v>
      </c>
      <c r="E255" s="4" t="s">
        <v>1326</v>
      </c>
      <c r="F255" s="4" t="s">
        <v>1327</v>
      </c>
      <c r="G255" s="4" t="n">
        <v>100</v>
      </c>
      <c r="H255" s="4" t="s">
        <v>359</v>
      </c>
      <c r="I255" s="22" t="n">
        <v>0</v>
      </c>
      <c r="J255" s="4" t="n">
        <v>14</v>
      </c>
      <c r="K255" s="4" t="n">
        <v>7</v>
      </c>
      <c r="L255" s="23" t="n">
        <f aca="false">IF(J255&gt;=5,K255/J255,"too few builds")</f>
        <v>0.5</v>
      </c>
      <c r="M255" s="22" t="n">
        <v>0</v>
      </c>
      <c r="N255" s="22" t="n">
        <v>0</v>
      </c>
      <c r="O255" s="4"/>
      <c r="P255" s="4" t="s">
        <v>576</v>
      </c>
      <c r="Q255" s="4"/>
      <c r="R255" s="4" t="s">
        <v>1328</v>
      </c>
    </row>
    <row r="256" customFormat="false" ht="15" hidden="false" customHeight="false" outlineLevel="0" collapsed="false">
      <c r="A256" s="4" t="s">
        <v>1329</v>
      </c>
      <c r="B256" s="4" t="s">
        <v>683</v>
      </c>
      <c r="C256" s="4" t="s">
        <v>379</v>
      </c>
      <c r="D256" s="4" t="s">
        <v>359</v>
      </c>
      <c r="E256" s="4" t="s">
        <v>1330</v>
      </c>
      <c r="F256" s="4" t="s">
        <v>371</v>
      </c>
      <c r="G256" s="4" t="n">
        <v>0</v>
      </c>
      <c r="H256" s="4" t="s">
        <v>369</v>
      </c>
      <c r="I256" s="22" t="n">
        <v>0.18</v>
      </c>
      <c r="J256" s="4" t="n">
        <v>500</v>
      </c>
      <c r="K256" s="4" t="n">
        <v>84</v>
      </c>
      <c r="L256" s="23" t="n">
        <f aca="false">IF(J256&gt;=5,K256/J256,"too few builds")</f>
        <v>0.168</v>
      </c>
      <c r="M256" s="22" t="n">
        <v>0</v>
      </c>
      <c r="N256" s="22" t="n">
        <v>0</v>
      </c>
      <c r="O256" s="4"/>
      <c r="P256" s="4"/>
      <c r="Q256" s="4"/>
      <c r="R256" s="4" t="s">
        <v>1331</v>
      </c>
    </row>
    <row r="257" customFormat="false" ht="15" hidden="false" customHeight="false" outlineLevel="0" collapsed="false">
      <c r="A257" s="4" t="s">
        <v>1332</v>
      </c>
      <c r="B257" s="4" t="s">
        <v>418</v>
      </c>
      <c r="C257" s="4" t="s">
        <v>379</v>
      </c>
      <c r="D257" s="4" t="s">
        <v>359</v>
      </c>
      <c r="E257" s="4" t="s">
        <v>1333</v>
      </c>
      <c r="F257" s="4" t="s">
        <v>497</v>
      </c>
      <c r="G257" s="4" t="n">
        <v>50</v>
      </c>
      <c r="H257" s="4" t="s">
        <v>359</v>
      </c>
      <c r="I257" s="22" t="n">
        <v>0.06</v>
      </c>
      <c r="J257" s="4" t="n">
        <v>90</v>
      </c>
      <c r="K257" s="4" t="n">
        <v>27</v>
      </c>
      <c r="L257" s="23" t="n">
        <f aca="false">IF(J257&gt;=5,K257/J257,"too few builds")</f>
        <v>0.3</v>
      </c>
      <c r="M257" s="22" t="n">
        <v>0</v>
      </c>
      <c r="N257" s="22" t="n">
        <v>0</v>
      </c>
      <c r="O257" s="4"/>
      <c r="P257" s="4"/>
      <c r="Q257" s="4"/>
      <c r="R257" s="4" t="s">
        <v>1334</v>
      </c>
    </row>
    <row r="258" customFormat="false" ht="15" hidden="false" customHeight="false" outlineLevel="0" collapsed="false">
      <c r="A258" s="4" t="s">
        <v>1335</v>
      </c>
      <c r="B258" s="4" t="s">
        <v>432</v>
      </c>
      <c r="C258" s="4" t="s">
        <v>379</v>
      </c>
      <c r="D258" s="4" t="s">
        <v>369</v>
      </c>
      <c r="E258" s="4" t="s">
        <v>1336</v>
      </c>
      <c r="F258" s="4" t="s">
        <v>361</v>
      </c>
      <c r="G258" s="4" t="n">
        <v>75</v>
      </c>
      <c r="H258" s="4" t="s">
        <v>359</v>
      </c>
      <c r="I258" s="22" t="n">
        <v>0.08</v>
      </c>
      <c r="J258" s="4" t="n">
        <v>51</v>
      </c>
      <c r="K258" s="4" t="n">
        <v>28</v>
      </c>
      <c r="L258" s="23" t="n">
        <f aca="false">IF(J258&gt;=5,K258/J258,"too few builds")</f>
        <v>0.549019607843137</v>
      </c>
      <c r="M258" s="22" t="n">
        <v>0</v>
      </c>
      <c r="N258" s="22" t="n">
        <v>0</v>
      </c>
      <c r="O258" s="4"/>
      <c r="P258" s="4"/>
      <c r="Q258" s="4"/>
      <c r="R258" s="4" t="s">
        <v>1337</v>
      </c>
    </row>
    <row r="259" customFormat="false" ht="15" hidden="false" customHeight="false" outlineLevel="0" collapsed="false">
      <c r="A259" s="4" t="s">
        <v>398</v>
      </c>
      <c r="B259" s="4" t="s">
        <v>398</v>
      </c>
      <c r="C259" s="4" t="s">
        <v>379</v>
      </c>
      <c r="D259" s="4" t="s">
        <v>369</v>
      </c>
      <c r="E259" s="4" t="s">
        <v>1338</v>
      </c>
      <c r="F259" s="4" t="s">
        <v>1338</v>
      </c>
      <c r="G259" s="4" t="n">
        <v>1</v>
      </c>
      <c r="H259" s="4" t="s">
        <v>359</v>
      </c>
      <c r="I259" s="22" t="n">
        <v>0.15</v>
      </c>
      <c r="J259" s="4" t="n">
        <v>114</v>
      </c>
      <c r="K259" s="4" t="n">
        <v>60</v>
      </c>
      <c r="L259" s="23" t="n">
        <f aca="false">IF(J259&gt;=5,K259/J259,"too few builds")</f>
        <v>0.526315789473684</v>
      </c>
      <c r="M259" s="22" t="n">
        <v>0</v>
      </c>
      <c r="N259" s="22" t="n">
        <v>0</v>
      </c>
      <c r="O259" s="4"/>
      <c r="P259" s="4"/>
      <c r="Q259" s="4"/>
      <c r="R259" s="4" t="s">
        <v>1339</v>
      </c>
    </row>
    <row r="260" customFormat="false" ht="15" hidden="false" customHeight="false" outlineLevel="0" collapsed="false">
      <c r="A260" s="4" t="s">
        <v>1340</v>
      </c>
      <c r="B260" s="4" t="s">
        <v>1341</v>
      </c>
      <c r="C260" s="4" t="s">
        <v>379</v>
      </c>
      <c r="D260" s="4" t="s">
        <v>359</v>
      </c>
      <c r="E260" s="4" t="s">
        <v>1342</v>
      </c>
      <c r="F260" s="4" t="s">
        <v>1343</v>
      </c>
      <c r="G260" s="4" t="n">
        <v>110</v>
      </c>
      <c r="H260" s="4" t="s">
        <v>359</v>
      </c>
      <c r="I260" s="22" t="n">
        <v>0.03</v>
      </c>
      <c r="J260" s="4" t="n">
        <v>15</v>
      </c>
      <c r="K260" s="4" t="n">
        <v>11</v>
      </c>
      <c r="L260" s="23" t="n">
        <f aca="false">IF(J260&gt;=5,K260/J260,"too few builds")</f>
        <v>0.733333333333333</v>
      </c>
      <c r="M260" s="22" t="n">
        <v>0</v>
      </c>
      <c r="N260" s="22" t="n">
        <v>0</v>
      </c>
      <c r="O260" s="4"/>
      <c r="P260" s="4"/>
      <c r="Q260" s="4"/>
      <c r="R260" s="4" t="s">
        <v>1344</v>
      </c>
    </row>
    <row r="261" customFormat="false" ht="15" hidden="false" customHeight="false" outlineLevel="0" collapsed="false">
      <c r="A261" s="4" t="s">
        <v>1345</v>
      </c>
      <c r="B261" s="4" t="s">
        <v>1128</v>
      </c>
      <c r="C261" s="4" t="s">
        <v>358</v>
      </c>
      <c r="D261" s="4" t="s">
        <v>359</v>
      </c>
      <c r="E261" s="4" t="s">
        <v>1346</v>
      </c>
      <c r="F261" s="4" t="s">
        <v>1347</v>
      </c>
      <c r="G261" s="4" t="n">
        <v>40</v>
      </c>
      <c r="H261" s="4" t="s">
        <v>359</v>
      </c>
      <c r="I261" s="22" t="n">
        <v>0.47</v>
      </c>
      <c r="J261" s="4" t="n">
        <v>250</v>
      </c>
      <c r="K261" s="4" t="n">
        <v>228</v>
      </c>
      <c r="L261" s="23" t="n">
        <f aca="false">IF(J261&gt;=5,K261/J261,"too few builds")</f>
        <v>0.912</v>
      </c>
      <c r="M261" s="22" t="n">
        <v>0</v>
      </c>
      <c r="N261" s="22" t="n">
        <v>0</v>
      </c>
      <c r="O261" s="4"/>
      <c r="P261" s="4"/>
      <c r="Q261" s="4"/>
      <c r="R261" s="4" t="s">
        <v>1348</v>
      </c>
    </row>
    <row r="262" customFormat="false" ht="15" hidden="false" customHeight="false" outlineLevel="0" collapsed="false">
      <c r="A262" s="4" t="s">
        <v>1349</v>
      </c>
      <c r="B262" s="4" t="s">
        <v>538</v>
      </c>
      <c r="C262" s="4" t="s">
        <v>379</v>
      </c>
      <c r="D262" s="4" t="s">
        <v>359</v>
      </c>
      <c r="E262" s="4" t="s">
        <v>1350</v>
      </c>
      <c r="F262" s="4" t="s">
        <v>1350</v>
      </c>
      <c r="G262" s="4" t="n">
        <v>35</v>
      </c>
      <c r="H262" s="4" t="s">
        <v>359</v>
      </c>
      <c r="I262" s="22" t="n">
        <v>0.13</v>
      </c>
      <c r="J262" s="4" t="n">
        <v>71</v>
      </c>
      <c r="K262" s="4" t="n">
        <v>61</v>
      </c>
      <c r="L262" s="23" t="n">
        <f aca="false">IF(J262&gt;=5,K262/J262,"too few builds")</f>
        <v>0.859154929577465</v>
      </c>
      <c r="M262" s="22" t="n">
        <v>0</v>
      </c>
      <c r="N262" s="22" t="n">
        <v>0</v>
      </c>
      <c r="O262" s="4"/>
      <c r="P262" s="4"/>
      <c r="Q262" s="4"/>
      <c r="R262" s="4" t="s">
        <v>1351</v>
      </c>
    </row>
    <row r="263" customFormat="false" ht="15" hidden="false" customHeight="false" outlineLevel="0" collapsed="false">
      <c r="A263" s="4" t="s">
        <v>1352</v>
      </c>
      <c r="B263" s="4" t="s">
        <v>882</v>
      </c>
      <c r="C263" s="4" t="s">
        <v>379</v>
      </c>
      <c r="D263" s="4" t="s">
        <v>359</v>
      </c>
      <c r="E263" s="4" t="s">
        <v>1353</v>
      </c>
      <c r="F263" s="4" t="s">
        <v>1353</v>
      </c>
      <c r="G263" s="4" t="n">
        <v>35</v>
      </c>
      <c r="H263" s="4" t="s">
        <v>359</v>
      </c>
      <c r="I263" s="22" t="n">
        <v>0.12</v>
      </c>
      <c r="J263" s="4" t="n">
        <v>214</v>
      </c>
      <c r="K263" s="4" t="n">
        <v>65</v>
      </c>
      <c r="L263" s="23" t="n">
        <f aca="false">IF(J263&gt;=5,K263/J263,"too few builds")</f>
        <v>0.303738317757009</v>
      </c>
      <c r="M263" s="22" t="n">
        <v>0</v>
      </c>
      <c r="N263" s="22" t="n">
        <v>0</v>
      </c>
      <c r="O263" s="4"/>
      <c r="P263" s="4" t="s">
        <v>1354</v>
      </c>
      <c r="Q263" s="4"/>
      <c r="R263" s="4" t="s">
        <v>1355</v>
      </c>
    </row>
    <row r="264" customFormat="false" ht="15" hidden="false" customHeight="false" outlineLevel="0" collapsed="false">
      <c r="A264" s="4" t="s">
        <v>1356</v>
      </c>
      <c r="B264" s="4" t="s">
        <v>1357</v>
      </c>
      <c r="C264" s="4" t="s">
        <v>379</v>
      </c>
      <c r="D264" s="4" t="s">
        <v>359</v>
      </c>
      <c r="E264" s="4" t="s">
        <v>1358</v>
      </c>
      <c r="F264" s="4" t="s">
        <v>1359</v>
      </c>
      <c r="G264" s="4" t="n">
        <v>90</v>
      </c>
      <c r="H264" s="4" t="s">
        <v>359</v>
      </c>
      <c r="I264" s="22" t="n">
        <v>0</v>
      </c>
      <c r="J264" s="4" t="n">
        <v>52</v>
      </c>
      <c r="K264" s="4" t="n">
        <v>15</v>
      </c>
      <c r="L264" s="23" t="n">
        <f aca="false">IF(J264&gt;=5,K264/J264,"too few builds")</f>
        <v>0.288461538461538</v>
      </c>
      <c r="M264" s="22" t="n">
        <v>0</v>
      </c>
      <c r="N264" s="22" t="n">
        <v>0</v>
      </c>
      <c r="O264" s="4"/>
      <c r="P264" s="4"/>
      <c r="Q264" s="4"/>
      <c r="R264" s="4" t="s">
        <v>1360</v>
      </c>
    </row>
    <row r="265" customFormat="false" ht="15" hidden="false" customHeight="false" outlineLevel="0" collapsed="false">
      <c r="A265" s="4" t="s">
        <v>1361</v>
      </c>
      <c r="B265" s="4" t="s">
        <v>1362</v>
      </c>
      <c r="C265" s="4" t="s">
        <v>379</v>
      </c>
      <c r="D265" s="4" t="s">
        <v>359</v>
      </c>
      <c r="E265" s="4" t="s">
        <v>1363</v>
      </c>
      <c r="F265" s="4" t="s">
        <v>1364</v>
      </c>
      <c r="G265" s="4" t="n">
        <v>40</v>
      </c>
      <c r="H265" s="4" t="s">
        <v>359</v>
      </c>
      <c r="I265" s="22" t="n">
        <v>0</v>
      </c>
      <c r="J265" s="4" t="n">
        <v>79</v>
      </c>
      <c r="K265" s="4" t="n">
        <v>3</v>
      </c>
      <c r="L265" s="23" t="n">
        <f aca="false">IF(J265&gt;=5,K265/J265,"too few builds")</f>
        <v>0.0379746835443038</v>
      </c>
      <c r="M265" s="22" t="n">
        <v>0</v>
      </c>
      <c r="N265" s="22" t="n">
        <v>0</v>
      </c>
      <c r="O265" s="4"/>
      <c r="P265" s="4"/>
      <c r="Q265" s="4"/>
      <c r="R265" s="4" t="s">
        <v>1365</v>
      </c>
    </row>
    <row r="266" customFormat="false" ht="15" hidden="false" customHeight="false" outlineLevel="0" collapsed="false">
      <c r="A266" s="4" t="s">
        <v>1366</v>
      </c>
      <c r="B266" s="4" t="s">
        <v>912</v>
      </c>
      <c r="C266" s="4" t="s">
        <v>379</v>
      </c>
      <c r="D266" s="4" t="s">
        <v>359</v>
      </c>
      <c r="E266" s="4" t="s">
        <v>909</v>
      </c>
      <c r="F266" s="4" t="s">
        <v>909</v>
      </c>
      <c r="G266" s="4" t="n">
        <v>40</v>
      </c>
      <c r="H266" s="4" t="s">
        <v>359</v>
      </c>
      <c r="I266" s="22" t="n">
        <v>0.09</v>
      </c>
      <c r="J266" s="4" t="n">
        <v>92</v>
      </c>
      <c r="K266" s="4" t="n">
        <v>37</v>
      </c>
      <c r="L266" s="23" t="n">
        <f aca="false">IF(J266&gt;=5,K266/J266,"too few builds")</f>
        <v>0.402173913043478</v>
      </c>
      <c r="M266" s="22" t="n">
        <v>0</v>
      </c>
      <c r="N266" s="22" t="n">
        <v>0</v>
      </c>
      <c r="O266" s="4"/>
      <c r="P266" s="4" t="s">
        <v>1367</v>
      </c>
      <c r="Q266" s="4" t="s">
        <v>1368</v>
      </c>
      <c r="R266" s="4" t="s">
        <v>1369</v>
      </c>
    </row>
    <row r="267" customFormat="false" ht="15" hidden="false" customHeight="false" outlineLevel="0" collapsed="false">
      <c r="A267" s="4" t="s">
        <v>1370</v>
      </c>
      <c r="B267" s="4" t="s">
        <v>1371</v>
      </c>
      <c r="C267" s="4" t="s">
        <v>419</v>
      </c>
      <c r="D267" s="4" t="s">
        <v>359</v>
      </c>
      <c r="E267" s="4" t="s">
        <v>1372</v>
      </c>
      <c r="F267" s="4" t="s">
        <v>1372</v>
      </c>
      <c r="G267" s="4" t="n">
        <v>50</v>
      </c>
      <c r="H267" s="4" t="s">
        <v>359</v>
      </c>
      <c r="I267" s="22" t="n">
        <v>0.39</v>
      </c>
      <c r="J267" s="4" t="n">
        <v>304</v>
      </c>
      <c r="K267" s="4" t="n">
        <v>187</v>
      </c>
      <c r="L267" s="23" t="n">
        <f aca="false">IF(J267&gt;=5,K267/J267,"too few builds")</f>
        <v>0.615131578947369</v>
      </c>
      <c r="M267" s="22" t="n">
        <v>0</v>
      </c>
      <c r="N267" s="22" t="n">
        <v>0</v>
      </c>
      <c r="O267" s="4"/>
      <c r="P267" s="4"/>
      <c r="Q267" s="4"/>
      <c r="R267" s="4" t="s">
        <v>1373</v>
      </c>
    </row>
    <row r="268" customFormat="false" ht="15" hidden="false" customHeight="false" outlineLevel="0" collapsed="false">
      <c r="A268" s="4" t="s">
        <v>1374</v>
      </c>
      <c r="B268" s="4" t="s">
        <v>1375</v>
      </c>
      <c r="C268" s="4" t="s">
        <v>379</v>
      </c>
      <c r="D268" s="4" t="s">
        <v>359</v>
      </c>
      <c r="E268" s="4" t="s">
        <v>1376</v>
      </c>
      <c r="F268" s="4" t="s">
        <v>1377</v>
      </c>
      <c r="G268" s="4" t="n">
        <v>115</v>
      </c>
      <c r="H268" s="4" t="s">
        <v>359</v>
      </c>
      <c r="I268" s="22" t="n">
        <v>0</v>
      </c>
      <c r="J268" s="4" t="n">
        <v>3</v>
      </c>
      <c r="K268" s="4" t="n">
        <v>0</v>
      </c>
      <c r="L268" s="23" t="str">
        <f aca="false">IF(J268&gt;=5,K268/J268,"too few builds")</f>
        <v>too few builds</v>
      </c>
      <c r="M268" s="22" t="n">
        <v>0</v>
      </c>
      <c r="N268" s="22" t="n">
        <v>0</v>
      </c>
      <c r="O268" s="4"/>
      <c r="P268" s="4"/>
      <c r="Q268" s="4"/>
      <c r="R268" s="4" t="s">
        <v>1378</v>
      </c>
    </row>
    <row r="269" customFormat="false" ht="15" hidden="false" customHeight="false" outlineLevel="0" collapsed="false">
      <c r="A269" s="4" t="s">
        <v>1379</v>
      </c>
      <c r="B269" s="4" t="s">
        <v>1380</v>
      </c>
      <c r="C269" s="4" t="s">
        <v>419</v>
      </c>
      <c r="D269" s="4" t="s">
        <v>359</v>
      </c>
      <c r="E269" s="4" t="s">
        <v>762</v>
      </c>
      <c r="F269" s="4" t="s">
        <v>762</v>
      </c>
      <c r="G269" s="4" t="n">
        <v>40</v>
      </c>
      <c r="H269" s="4" t="s">
        <v>359</v>
      </c>
      <c r="I269" s="22" t="n">
        <v>0.27</v>
      </c>
      <c r="J269" s="4" t="n">
        <v>196</v>
      </c>
      <c r="K269" s="4" t="n">
        <v>153</v>
      </c>
      <c r="L269" s="23" t="n">
        <f aca="false">IF(J269&gt;=5,K269/J269,"too few builds")</f>
        <v>0.780612244897959</v>
      </c>
      <c r="M269" s="22" t="n">
        <v>0</v>
      </c>
      <c r="N269" s="22" t="n">
        <v>0</v>
      </c>
      <c r="O269" s="4"/>
      <c r="P269" s="4"/>
      <c r="Q269" s="4"/>
      <c r="R269" s="4" t="s">
        <v>1381</v>
      </c>
    </row>
    <row r="270" customFormat="false" ht="15" hidden="false" customHeight="false" outlineLevel="0" collapsed="false">
      <c r="A270" s="4" t="s">
        <v>1382</v>
      </c>
      <c r="B270" s="4" t="s">
        <v>683</v>
      </c>
      <c r="C270" s="4" t="s">
        <v>379</v>
      </c>
      <c r="D270" s="4" t="s">
        <v>359</v>
      </c>
      <c r="E270" s="4" t="s">
        <v>1383</v>
      </c>
      <c r="F270" s="4" t="s">
        <v>371</v>
      </c>
      <c r="G270" s="4" t="n">
        <v>0</v>
      </c>
      <c r="H270" s="4" t="s">
        <v>369</v>
      </c>
      <c r="I270" s="22" t="n">
        <v>0.31</v>
      </c>
      <c r="J270" s="4" t="n">
        <v>500</v>
      </c>
      <c r="K270" s="4" t="n">
        <v>156</v>
      </c>
      <c r="L270" s="23" t="n">
        <f aca="false">IF(J270&gt;=5,K270/J270,"too few builds")</f>
        <v>0.312</v>
      </c>
      <c r="M270" s="22" t="n">
        <v>0</v>
      </c>
      <c r="N270" s="22" t="n">
        <v>0</v>
      </c>
      <c r="O270" s="4"/>
      <c r="P270" s="4"/>
      <c r="Q270" s="4"/>
      <c r="R270" s="4" t="s">
        <v>1384</v>
      </c>
    </row>
    <row r="271" customFormat="false" ht="15" hidden="false" customHeight="false" outlineLevel="0" collapsed="false">
      <c r="A271" s="4" t="s">
        <v>1385</v>
      </c>
      <c r="B271" s="4" t="s">
        <v>938</v>
      </c>
      <c r="C271" s="4" t="s">
        <v>419</v>
      </c>
      <c r="D271" s="4" t="s">
        <v>359</v>
      </c>
      <c r="E271" s="4" t="s">
        <v>1386</v>
      </c>
      <c r="F271" s="4" t="s">
        <v>1387</v>
      </c>
      <c r="G271" s="4" t="n">
        <v>80</v>
      </c>
      <c r="H271" s="4" t="s">
        <v>359</v>
      </c>
      <c r="I271" s="22" t="n">
        <v>0.04</v>
      </c>
      <c r="J271" s="4" t="n">
        <v>62</v>
      </c>
      <c r="K271" s="4" t="n">
        <v>17</v>
      </c>
      <c r="L271" s="23" t="n">
        <f aca="false">IF(J271&gt;=5,K271/J271,"too few builds")</f>
        <v>0.274193548387097</v>
      </c>
      <c r="M271" s="22" t="n">
        <v>0</v>
      </c>
      <c r="N271" s="22" t="n">
        <v>0</v>
      </c>
      <c r="O271" s="4"/>
      <c r="P271" s="4"/>
      <c r="Q271" s="4"/>
      <c r="R271" s="4" t="s">
        <v>1388</v>
      </c>
    </row>
    <row r="272" customFormat="false" ht="15" hidden="false" customHeight="false" outlineLevel="0" collapsed="false">
      <c r="A272" s="4" t="s">
        <v>1389</v>
      </c>
      <c r="B272" s="4" t="s">
        <v>747</v>
      </c>
      <c r="C272" s="4" t="s">
        <v>379</v>
      </c>
      <c r="D272" s="4" t="s">
        <v>359</v>
      </c>
      <c r="E272" s="4" t="s">
        <v>1390</v>
      </c>
      <c r="F272" s="4" t="s">
        <v>748</v>
      </c>
      <c r="G272" s="4" t="n">
        <v>10</v>
      </c>
      <c r="H272" s="4" t="s">
        <v>359</v>
      </c>
      <c r="I272" s="22" t="n">
        <v>0.25</v>
      </c>
      <c r="J272" s="4" t="n">
        <v>381</v>
      </c>
      <c r="K272" s="4" t="n">
        <v>115</v>
      </c>
      <c r="L272" s="23" t="n">
        <f aca="false">IF(J272&gt;=5,K272/J272,"too few builds")</f>
        <v>0.301837270341207</v>
      </c>
      <c r="M272" s="22" t="n">
        <v>0</v>
      </c>
      <c r="N272" s="22" t="n">
        <v>0</v>
      </c>
      <c r="O272" s="4"/>
      <c r="P272" s="4"/>
      <c r="Q272" s="4"/>
      <c r="R272" s="4" t="s">
        <v>1391</v>
      </c>
    </row>
    <row r="273" customFormat="false" ht="15" hidden="false" customHeight="false" outlineLevel="0" collapsed="false">
      <c r="A273" s="4" t="s">
        <v>1392</v>
      </c>
      <c r="B273" s="4" t="s">
        <v>1393</v>
      </c>
      <c r="C273" s="4" t="s">
        <v>419</v>
      </c>
      <c r="D273" s="4" t="s">
        <v>359</v>
      </c>
      <c r="E273" s="4" t="s">
        <v>1394</v>
      </c>
      <c r="F273" s="4" t="s">
        <v>554</v>
      </c>
      <c r="G273" s="4" t="n">
        <v>60</v>
      </c>
      <c r="H273" s="4" t="s">
        <v>359</v>
      </c>
      <c r="I273" s="22" t="n">
        <v>0</v>
      </c>
      <c r="J273" s="4" t="n">
        <v>46</v>
      </c>
      <c r="K273" s="4" t="n">
        <v>9</v>
      </c>
      <c r="L273" s="23" t="n">
        <f aca="false">IF(J273&gt;=5,K273/J273,"too few builds")</f>
        <v>0.195652173913044</v>
      </c>
      <c r="M273" s="22" t="n">
        <v>0</v>
      </c>
      <c r="N273" s="22" t="n">
        <v>0</v>
      </c>
      <c r="O273" s="4"/>
      <c r="P273" s="4"/>
      <c r="Q273" s="4"/>
      <c r="R273" s="4" t="s">
        <v>1395</v>
      </c>
    </row>
    <row r="274" customFormat="false" ht="15" hidden="false" customHeight="false" outlineLevel="0" collapsed="false">
      <c r="A274" s="4" t="s">
        <v>1396</v>
      </c>
      <c r="B274" s="4" t="s">
        <v>1397</v>
      </c>
      <c r="C274" s="4" t="s">
        <v>419</v>
      </c>
      <c r="D274" s="4" t="s">
        <v>359</v>
      </c>
      <c r="E274" s="4" t="s">
        <v>1398</v>
      </c>
      <c r="F274" s="4" t="s">
        <v>1399</v>
      </c>
      <c r="G274" s="4" t="n">
        <v>50</v>
      </c>
      <c r="H274" s="4" t="s">
        <v>359</v>
      </c>
      <c r="I274" s="22" t="n">
        <v>0.05</v>
      </c>
      <c r="J274" s="4" t="n">
        <v>430</v>
      </c>
      <c r="K274" s="4" t="n">
        <v>29</v>
      </c>
      <c r="L274" s="23" t="n">
        <f aca="false">IF(J274&gt;=5,K274/J274,"too few builds")</f>
        <v>0.0674418604651163</v>
      </c>
      <c r="M274" s="22" t="n">
        <v>0</v>
      </c>
      <c r="N274" s="22" t="n">
        <v>0</v>
      </c>
      <c r="O274" s="4"/>
      <c r="P274" s="4" t="s">
        <v>1400</v>
      </c>
      <c r="Q274" s="4"/>
      <c r="R274" s="4" t="s">
        <v>1401</v>
      </c>
    </row>
    <row r="275" customFormat="false" ht="15" hidden="false" customHeight="false" outlineLevel="0" collapsed="false">
      <c r="A275" s="4" t="s">
        <v>1402</v>
      </c>
      <c r="B275" s="4" t="s">
        <v>1403</v>
      </c>
      <c r="C275" s="4" t="s">
        <v>379</v>
      </c>
      <c r="D275" s="4" t="s">
        <v>359</v>
      </c>
      <c r="E275" s="4" t="s">
        <v>1404</v>
      </c>
      <c r="F275" s="4" t="s">
        <v>1404</v>
      </c>
      <c r="G275" s="4" t="n">
        <v>30</v>
      </c>
      <c r="H275" s="4" t="s">
        <v>359</v>
      </c>
      <c r="I275" s="22" t="n">
        <v>0.21</v>
      </c>
      <c r="J275" s="4" t="n">
        <v>400</v>
      </c>
      <c r="K275" s="4" t="n">
        <v>102</v>
      </c>
      <c r="L275" s="23" t="n">
        <f aca="false">IF(J275&gt;=5,K275/J275,"too few builds")</f>
        <v>0.255</v>
      </c>
      <c r="M275" s="22" t="n">
        <v>0</v>
      </c>
      <c r="N275" s="22" t="n">
        <v>0</v>
      </c>
      <c r="O275" s="4"/>
      <c r="P275" s="4" t="s">
        <v>1405</v>
      </c>
      <c r="Q275" s="4"/>
      <c r="R275" s="4" t="s">
        <v>1406</v>
      </c>
    </row>
    <row r="276" customFormat="false" ht="15" hidden="false" customHeight="false" outlineLevel="0" collapsed="false">
      <c r="A276" s="4" t="s">
        <v>1407</v>
      </c>
      <c r="B276" s="4" t="s">
        <v>1408</v>
      </c>
      <c r="C276" s="4" t="s">
        <v>379</v>
      </c>
      <c r="D276" s="4" t="s">
        <v>359</v>
      </c>
      <c r="E276" s="4" t="s">
        <v>1409</v>
      </c>
      <c r="F276" s="4" t="s">
        <v>1410</v>
      </c>
      <c r="G276" s="4" t="n">
        <v>180</v>
      </c>
      <c r="H276" s="4" t="s">
        <v>359</v>
      </c>
      <c r="I276" s="22" t="n">
        <v>0</v>
      </c>
      <c r="J276" s="4" t="n">
        <v>4</v>
      </c>
      <c r="K276" s="4" t="n">
        <v>1</v>
      </c>
      <c r="L276" s="23" t="str">
        <f aca="false">IF(J276&gt;=5,K276/J276,"too few builds")</f>
        <v>too few builds</v>
      </c>
      <c r="M276" s="22" t="n">
        <v>0</v>
      </c>
      <c r="N276" s="22" t="n">
        <v>0</v>
      </c>
      <c r="O276" s="4"/>
      <c r="P276" s="4" t="s">
        <v>1411</v>
      </c>
      <c r="Q276" s="4"/>
      <c r="R276" s="4" t="s">
        <v>1412</v>
      </c>
    </row>
    <row r="277" customFormat="false" ht="15" hidden="false" customHeight="false" outlineLevel="0" collapsed="false">
      <c r="A277" s="4" t="s">
        <v>1413</v>
      </c>
      <c r="B277" s="4" t="s">
        <v>1414</v>
      </c>
      <c r="C277" s="4" t="s">
        <v>358</v>
      </c>
      <c r="D277" s="4" t="s">
        <v>359</v>
      </c>
      <c r="E277" s="4" t="s">
        <v>1415</v>
      </c>
      <c r="F277" s="4" t="s">
        <v>1415</v>
      </c>
      <c r="G277" s="4" t="n">
        <v>85</v>
      </c>
      <c r="H277" s="4" t="s">
        <v>359</v>
      </c>
      <c r="I277" s="22" t="n">
        <v>0.09</v>
      </c>
      <c r="J277" s="4" t="n">
        <v>52</v>
      </c>
      <c r="K277" s="4" t="n">
        <v>44</v>
      </c>
      <c r="L277" s="23" t="n">
        <f aca="false">IF(J277&gt;=5,K277/J277,"too few builds")</f>
        <v>0.846153846153846</v>
      </c>
      <c r="M277" s="22" t="n">
        <v>0</v>
      </c>
      <c r="N277" s="22" t="n">
        <v>0</v>
      </c>
      <c r="O277" s="4"/>
      <c r="P277" s="4"/>
      <c r="Q277" s="4"/>
      <c r="R277" s="4" t="s">
        <v>1416</v>
      </c>
    </row>
    <row r="278" customFormat="false" ht="15" hidden="false" customHeight="false" outlineLevel="0" collapsed="false">
      <c r="A278" s="4" t="s">
        <v>1417</v>
      </c>
      <c r="B278" s="4" t="s">
        <v>1003</v>
      </c>
      <c r="C278" s="4" t="s">
        <v>379</v>
      </c>
      <c r="D278" s="4" t="s">
        <v>359</v>
      </c>
      <c r="E278" s="4" t="s">
        <v>1418</v>
      </c>
      <c r="F278" s="4" t="s">
        <v>1418</v>
      </c>
      <c r="G278" s="4" t="n">
        <v>100</v>
      </c>
      <c r="H278" s="4" t="s">
        <v>359</v>
      </c>
      <c r="I278" s="22" t="n">
        <v>0</v>
      </c>
      <c r="J278" s="4" t="n">
        <v>11</v>
      </c>
      <c r="K278" s="4" t="n">
        <v>0</v>
      </c>
      <c r="L278" s="23" t="n">
        <f aca="false">IF(J278&gt;=5,K278/J278,"too few builds")</f>
        <v>0</v>
      </c>
      <c r="M278" s="22" t="n">
        <v>0</v>
      </c>
      <c r="N278" s="22" t="n">
        <v>0</v>
      </c>
      <c r="O278" s="4"/>
      <c r="P278" s="4"/>
      <c r="Q278" s="4"/>
      <c r="R278" s="4"/>
    </row>
    <row r="279" customFormat="false" ht="15" hidden="false" customHeight="false" outlineLevel="0" collapsed="false">
      <c r="A279" s="4" t="s">
        <v>1419</v>
      </c>
      <c r="B279" s="4" t="s">
        <v>527</v>
      </c>
      <c r="C279" s="4" t="s">
        <v>379</v>
      </c>
      <c r="D279" s="4" t="s">
        <v>359</v>
      </c>
      <c r="E279" s="4" t="s">
        <v>1420</v>
      </c>
      <c r="F279" s="4" t="s">
        <v>1420</v>
      </c>
      <c r="G279" s="4" t="n">
        <v>45</v>
      </c>
      <c r="H279" s="4" t="s">
        <v>359</v>
      </c>
      <c r="I279" s="22" t="n">
        <v>0</v>
      </c>
      <c r="J279" s="4" t="n">
        <v>126</v>
      </c>
      <c r="K279" s="4" t="n">
        <v>6</v>
      </c>
      <c r="L279" s="23" t="n">
        <f aca="false">IF(J279&gt;=5,K279/J279,"too few builds")</f>
        <v>0.0476190476190476</v>
      </c>
      <c r="M279" s="22" t="n">
        <v>0</v>
      </c>
      <c r="N279" s="22" t="n">
        <v>0</v>
      </c>
      <c r="O279" s="4"/>
      <c r="P279" s="4"/>
      <c r="Q279" s="4"/>
      <c r="R279" s="4" t="s">
        <v>1421</v>
      </c>
    </row>
    <row r="280" customFormat="false" ht="15" hidden="false" customHeight="false" outlineLevel="0" collapsed="false">
      <c r="A280" s="4" t="s">
        <v>1422</v>
      </c>
      <c r="B280" s="4" t="s">
        <v>561</v>
      </c>
      <c r="C280" s="4" t="s">
        <v>332</v>
      </c>
      <c r="D280" s="4" t="s">
        <v>369</v>
      </c>
      <c r="E280" s="4" t="s">
        <v>562</v>
      </c>
      <c r="F280" s="4" t="s">
        <v>371</v>
      </c>
      <c r="G280" s="4" t="n">
        <v>0</v>
      </c>
      <c r="H280" s="4" t="s">
        <v>369</v>
      </c>
      <c r="I280" s="22" t="n">
        <v>0</v>
      </c>
      <c r="J280" s="4" t="n">
        <v>17</v>
      </c>
      <c r="K280" s="4" t="n">
        <v>3</v>
      </c>
      <c r="L280" s="23" t="n">
        <f aca="false">IF(J280&gt;=5,K280/J280,"too few builds")</f>
        <v>0.176470588235294</v>
      </c>
      <c r="M280" s="22" t="n">
        <v>0</v>
      </c>
      <c r="N280" s="22" t="n">
        <v>0</v>
      </c>
      <c r="O280" s="4"/>
      <c r="P280" s="4"/>
      <c r="Q280" s="4"/>
      <c r="R280" s="4" t="s">
        <v>1423</v>
      </c>
    </row>
    <row r="281" customFormat="false" ht="15" hidden="false" customHeight="false" outlineLevel="0" collapsed="false">
      <c r="A281" s="4" t="s">
        <v>1424</v>
      </c>
      <c r="B281" s="4" t="s">
        <v>561</v>
      </c>
      <c r="C281" s="4" t="s">
        <v>332</v>
      </c>
      <c r="D281" s="4" t="s">
        <v>369</v>
      </c>
      <c r="E281" s="4" t="s">
        <v>562</v>
      </c>
      <c r="F281" s="4" t="s">
        <v>371</v>
      </c>
      <c r="G281" s="4" t="n">
        <v>0</v>
      </c>
      <c r="H281" s="4" t="s">
        <v>369</v>
      </c>
      <c r="I281" s="22" t="n">
        <v>0</v>
      </c>
      <c r="J281" s="4" t="n">
        <v>17</v>
      </c>
      <c r="K281" s="4" t="n">
        <v>3</v>
      </c>
      <c r="L281" s="23" t="n">
        <f aca="false">IF(J281&gt;=5,K281/J281,"too few builds")</f>
        <v>0.176470588235294</v>
      </c>
      <c r="M281" s="22" t="n">
        <v>0</v>
      </c>
      <c r="N281" s="22" t="n">
        <v>0</v>
      </c>
      <c r="O281" s="4"/>
      <c r="P281" s="4"/>
      <c r="Q281" s="4"/>
      <c r="R281" s="4" t="s">
        <v>1425</v>
      </c>
    </row>
    <row r="282" customFormat="false" ht="15" hidden="false" customHeight="false" outlineLevel="0" collapsed="false">
      <c r="A282" s="4" t="s">
        <v>1426</v>
      </c>
      <c r="B282" s="4" t="s">
        <v>679</v>
      </c>
      <c r="C282" s="4" t="s">
        <v>379</v>
      </c>
      <c r="D282" s="4" t="s">
        <v>359</v>
      </c>
      <c r="E282" s="4" t="s">
        <v>893</v>
      </c>
      <c r="F282" s="4" t="s">
        <v>893</v>
      </c>
      <c r="G282" s="4" t="n">
        <v>35</v>
      </c>
      <c r="H282" s="4" t="s">
        <v>359</v>
      </c>
      <c r="I282" s="22" t="n">
        <v>0</v>
      </c>
      <c r="J282" s="4" t="n">
        <v>162</v>
      </c>
      <c r="K282" s="4" t="n">
        <v>8</v>
      </c>
      <c r="L282" s="23" t="n">
        <f aca="false">IF(J282&gt;=5,K282/J282,"too few builds")</f>
        <v>0.0493827160493827</v>
      </c>
      <c r="M282" s="22" t="n">
        <v>0</v>
      </c>
      <c r="N282" s="22" t="n">
        <v>0</v>
      </c>
      <c r="O282" s="4"/>
      <c r="P282" s="4"/>
      <c r="Q282" s="4"/>
      <c r="R282" s="4" t="s">
        <v>1427</v>
      </c>
    </row>
    <row r="283" customFormat="false" ht="15" hidden="false" customHeight="false" outlineLevel="0" collapsed="false">
      <c r="A283" s="4" t="s">
        <v>1428</v>
      </c>
      <c r="B283" s="4" t="s">
        <v>1272</v>
      </c>
      <c r="C283" s="4" t="s">
        <v>379</v>
      </c>
      <c r="D283" s="4" t="s">
        <v>359</v>
      </c>
      <c r="E283" s="4" t="s">
        <v>1429</v>
      </c>
      <c r="F283" s="4" t="s">
        <v>1429</v>
      </c>
      <c r="G283" s="4" t="n">
        <v>20</v>
      </c>
      <c r="H283" s="4" t="s">
        <v>359</v>
      </c>
      <c r="I283" s="22" t="n">
        <v>0.11</v>
      </c>
      <c r="J283" s="4" t="n">
        <v>322</v>
      </c>
      <c r="K283" s="4" t="n">
        <v>52</v>
      </c>
      <c r="L283" s="23" t="n">
        <f aca="false">IF(J283&gt;=5,K283/J283,"too few builds")</f>
        <v>0.161490683229814</v>
      </c>
      <c r="M283" s="22" t="n">
        <v>0</v>
      </c>
      <c r="N283" s="22" t="n">
        <v>0</v>
      </c>
      <c r="O283" s="4"/>
      <c r="P283" s="4" t="s">
        <v>1430</v>
      </c>
      <c r="Q283" s="4"/>
      <c r="R283" s="4" t="s">
        <v>1431</v>
      </c>
    </row>
    <row r="284" customFormat="false" ht="15" hidden="false" customHeight="false" outlineLevel="0" collapsed="false">
      <c r="A284" s="4" t="s">
        <v>1432</v>
      </c>
      <c r="B284" s="4" t="s">
        <v>655</v>
      </c>
      <c r="C284" s="4" t="s">
        <v>419</v>
      </c>
      <c r="D284" s="4" t="s">
        <v>359</v>
      </c>
      <c r="E284" s="4" t="s">
        <v>1433</v>
      </c>
      <c r="F284" s="4" t="s">
        <v>656</v>
      </c>
      <c r="G284" s="4" t="n">
        <v>55</v>
      </c>
      <c r="H284" s="4" t="s">
        <v>359</v>
      </c>
      <c r="I284" s="22" t="n">
        <v>0</v>
      </c>
      <c r="J284" s="4" t="n">
        <v>93</v>
      </c>
      <c r="K284" s="4" t="n">
        <v>2</v>
      </c>
      <c r="L284" s="23" t="n">
        <f aca="false">IF(J284&gt;=5,K284/J284,"too few builds")</f>
        <v>0.021505376344086</v>
      </c>
      <c r="M284" s="22" t="n">
        <v>0</v>
      </c>
      <c r="N284" s="22" t="n">
        <v>0</v>
      </c>
      <c r="O284" s="4"/>
      <c r="P284" s="4"/>
      <c r="Q284" s="4"/>
      <c r="R284" s="4" t="s">
        <v>1434</v>
      </c>
    </row>
    <row r="285" customFormat="false" ht="15" hidden="false" customHeight="false" outlineLevel="0" collapsed="false">
      <c r="A285" s="4" t="s">
        <v>1435</v>
      </c>
      <c r="B285" s="4" t="s">
        <v>1136</v>
      </c>
      <c r="C285" s="4" t="s">
        <v>584</v>
      </c>
      <c r="D285" s="4" t="s">
        <v>369</v>
      </c>
      <c r="E285" s="4" t="s">
        <v>585</v>
      </c>
      <c r="F285" s="4" t="s">
        <v>371</v>
      </c>
      <c r="G285" s="4" t="n">
        <v>0</v>
      </c>
      <c r="H285" s="4" t="s">
        <v>369</v>
      </c>
      <c r="I285" s="22" t="n">
        <v>0</v>
      </c>
      <c r="J285" s="4" t="n">
        <v>500</v>
      </c>
      <c r="K285" s="4" t="n">
        <v>9</v>
      </c>
      <c r="L285" s="23" t="n">
        <f aca="false">IF(J285&gt;=5,K285/J285,"too few builds")</f>
        <v>0.018</v>
      </c>
      <c r="M285" s="22" t="n">
        <v>0</v>
      </c>
      <c r="N285" s="22" t="n">
        <v>0</v>
      </c>
      <c r="O285" s="4"/>
      <c r="P285" s="4"/>
      <c r="Q285" s="4"/>
      <c r="R285" s="4" t="s">
        <v>1436</v>
      </c>
    </row>
    <row r="286" customFormat="false" ht="15" hidden="false" customHeight="false" outlineLevel="0" collapsed="false">
      <c r="A286" s="4" t="s">
        <v>1437</v>
      </c>
      <c r="B286" s="4" t="s">
        <v>1438</v>
      </c>
      <c r="C286" s="4" t="s">
        <v>379</v>
      </c>
      <c r="D286" s="4" t="s">
        <v>359</v>
      </c>
      <c r="E286" s="4" t="s">
        <v>1439</v>
      </c>
      <c r="F286" s="4" t="s">
        <v>424</v>
      </c>
      <c r="G286" s="4" t="n">
        <v>40</v>
      </c>
      <c r="H286" s="4" t="s">
        <v>359</v>
      </c>
      <c r="I286" s="22" t="n">
        <v>0.17</v>
      </c>
      <c r="J286" s="4" t="n">
        <v>100</v>
      </c>
      <c r="K286" s="4" t="n">
        <v>75</v>
      </c>
      <c r="L286" s="23" t="n">
        <f aca="false">IF(J286&gt;=5,K286/J286,"too few builds")</f>
        <v>0.75</v>
      </c>
      <c r="M286" s="22" t="n">
        <v>0</v>
      </c>
      <c r="N286" s="22" t="n">
        <v>0</v>
      </c>
      <c r="O286" s="4"/>
      <c r="P286" s="4" t="s">
        <v>1289</v>
      </c>
      <c r="Q286" s="4"/>
      <c r="R286" s="4" t="s">
        <v>1440</v>
      </c>
    </row>
    <row r="287" customFormat="false" ht="15" hidden="false" customHeight="false" outlineLevel="0" collapsed="false">
      <c r="A287" s="4" t="s">
        <v>1441</v>
      </c>
      <c r="B287" s="4" t="s">
        <v>495</v>
      </c>
      <c r="C287" s="4" t="s">
        <v>379</v>
      </c>
      <c r="D287" s="4" t="s">
        <v>359</v>
      </c>
      <c r="E287" s="4" t="s">
        <v>1442</v>
      </c>
      <c r="F287" s="4" t="s">
        <v>497</v>
      </c>
      <c r="G287" s="4" t="n">
        <v>50</v>
      </c>
      <c r="H287" s="4" t="s">
        <v>359</v>
      </c>
      <c r="I287" s="22" t="n">
        <v>0.08</v>
      </c>
      <c r="J287" s="4" t="n">
        <v>90</v>
      </c>
      <c r="K287" s="4" t="n">
        <v>42</v>
      </c>
      <c r="L287" s="23" t="n">
        <f aca="false">IF(J287&gt;=5,K287/J287,"too few builds")</f>
        <v>0.466666666666667</v>
      </c>
      <c r="M287" s="22" t="n">
        <v>0</v>
      </c>
      <c r="N287" s="22" t="n">
        <v>0</v>
      </c>
      <c r="O287" s="4"/>
      <c r="P287" s="4"/>
      <c r="Q287" s="4"/>
      <c r="R287" s="4" t="s">
        <v>1443</v>
      </c>
    </row>
    <row r="288" customFormat="false" ht="15" hidden="false" customHeight="false" outlineLevel="0" collapsed="false">
      <c r="A288" s="4" t="s">
        <v>1444</v>
      </c>
      <c r="B288" s="4" t="s">
        <v>1276</v>
      </c>
      <c r="C288" s="4" t="s">
        <v>332</v>
      </c>
      <c r="D288" s="4" t="s">
        <v>369</v>
      </c>
      <c r="E288" s="4" t="s">
        <v>1277</v>
      </c>
      <c r="F288" s="4" t="s">
        <v>371</v>
      </c>
      <c r="G288" s="4" t="n">
        <v>0</v>
      </c>
      <c r="H288" s="4" t="s">
        <v>369</v>
      </c>
      <c r="I288" s="22" t="n">
        <v>0</v>
      </c>
      <c r="J288" s="4" t="n">
        <v>59</v>
      </c>
      <c r="K288" s="4" t="n">
        <v>19</v>
      </c>
      <c r="L288" s="23" t="n">
        <f aca="false">IF(J288&gt;=5,K288/J288,"too few builds")</f>
        <v>0.322033898305085</v>
      </c>
      <c r="M288" s="22" t="n">
        <v>0</v>
      </c>
      <c r="N288" s="22" t="n">
        <v>0</v>
      </c>
      <c r="O288" s="4"/>
      <c r="P288" s="4"/>
      <c r="Q288" s="4"/>
      <c r="R288" s="4" t="s">
        <v>1445</v>
      </c>
    </row>
    <row r="289" customFormat="false" ht="15" hidden="false" customHeight="false" outlineLevel="0" collapsed="false">
      <c r="A289" s="4" t="s">
        <v>1446</v>
      </c>
      <c r="B289" s="4" t="s">
        <v>1447</v>
      </c>
      <c r="C289" s="4" t="s">
        <v>379</v>
      </c>
      <c r="D289" s="4" t="s">
        <v>359</v>
      </c>
      <c r="E289" s="4" t="s">
        <v>1448</v>
      </c>
      <c r="F289" s="4" t="s">
        <v>1448</v>
      </c>
      <c r="G289" s="4" t="n">
        <v>60</v>
      </c>
      <c r="H289" s="4" t="s">
        <v>359</v>
      </c>
      <c r="I289" s="22" t="n">
        <v>0</v>
      </c>
      <c r="J289" s="4" t="n">
        <v>106</v>
      </c>
      <c r="K289" s="4" t="n">
        <v>1</v>
      </c>
      <c r="L289" s="23" t="n">
        <f aca="false">IF(J289&gt;=5,K289/J289,"too few builds")</f>
        <v>0.00943396226415094</v>
      </c>
      <c r="M289" s="22" t="n">
        <v>0</v>
      </c>
      <c r="N289" s="22" t="n">
        <v>0</v>
      </c>
      <c r="O289" s="4"/>
      <c r="P289" s="4" t="s">
        <v>1449</v>
      </c>
      <c r="Q289" s="4"/>
      <c r="R289" s="4"/>
    </row>
    <row r="290" customFormat="false" ht="15" hidden="false" customHeight="false" outlineLevel="0" collapsed="false">
      <c r="A290" s="4" t="s">
        <v>1450</v>
      </c>
      <c r="B290" s="4" t="s">
        <v>688</v>
      </c>
      <c r="C290" s="4" t="s">
        <v>419</v>
      </c>
      <c r="D290" s="4" t="s">
        <v>359</v>
      </c>
      <c r="E290" s="4" t="s">
        <v>1451</v>
      </c>
      <c r="F290" s="4" t="s">
        <v>1451</v>
      </c>
      <c r="G290" s="4" t="n">
        <v>40</v>
      </c>
      <c r="H290" s="4" t="s">
        <v>359</v>
      </c>
      <c r="I290" s="22" t="n">
        <v>0.07</v>
      </c>
      <c r="J290" s="4" t="n">
        <v>143</v>
      </c>
      <c r="K290" s="4" t="n">
        <v>32</v>
      </c>
      <c r="L290" s="23" t="n">
        <f aca="false">IF(J290&gt;=5,K290/J290,"too few builds")</f>
        <v>0.223776223776224</v>
      </c>
      <c r="M290" s="22" t="n">
        <v>0</v>
      </c>
      <c r="N290" s="22" t="n">
        <v>0</v>
      </c>
      <c r="O290" s="4"/>
      <c r="P290" s="4" t="s">
        <v>1452</v>
      </c>
      <c r="Q290" s="4"/>
      <c r="R290" s="4" t="s">
        <v>1453</v>
      </c>
    </row>
    <row r="291" customFormat="false" ht="15" hidden="false" customHeight="false" outlineLevel="0" collapsed="false">
      <c r="A291" s="4" t="s">
        <v>1454</v>
      </c>
      <c r="B291" s="4" t="s">
        <v>683</v>
      </c>
      <c r="C291" s="4" t="s">
        <v>379</v>
      </c>
      <c r="D291" s="4" t="s">
        <v>359</v>
      </c>
      <c r="E291" s="4" t="s">
        <v>848</v>
      </c>
      <c r="F291" s="4" t="s">
        <v>848</v>
      </c>
      <c r="G291" s="4" t="n">
        <v>15</v>
      </c>
      <c r="H291" s="4" t="s">
        <v>359</v>
      </c>
      <c r="I291" s="22" t="n">
        <v>0</v>
      </c>
      <c r="J291" s="4" t="n">
        <v>383</v>
      </c>
      <c r="K291" s="4" t="n">
        <v>12</v>
      </c>
      <c r="L291" s="23" t="n">
        <f aca="false">IF(J291&gt;=5,K291/J291,"too few builds")</f>
        <v>0.031331592689295</v>
      </c>
      <c r="M291" s="22" t="n">
        <v>0</v>
      </c>
      <c r="N291" s="22" t="n">
        <v>0</v>
      </c>
      <c r="O291" s="4"/>
      <c r="P291" s="4"/>
      <c r="Q291" s="4"/>
      <c r="R291" s="4" t="s">
        <v>1455</v>
      </c>
    </row>
    <row r="292" customFormat="false" ht="15" hidden="false" customHeight="false" outlineLevel="0" collapsed="false">
      <c r="A292" s="4" t="s">
        <v>1456</v>
      </c>
      <c r="B292" s="4" t="s">
        <v>1007</v>
      </c>
      <c r="C292" s="4" t="s">
        <v>379</v>
      </c>
      <c r="D292" s="4" t="s">
        <v>359</v>
      </c>
      <c r="E292" s="4" t="s">
        <v>1457</v>
      </c>
      <c r="F292" s="4" t="s">
        <v>1457</v>
      </c>
      <c r="G292" s="4" t="n">
        <v>40</v>
      </c>
      <c r="H292" s="4" t="s">
        <v>359</v>
      </c>
      <c r="I292" s="22" t="n">
        <v>0.17</v>
      </c>
      <c r="J292" s="4" t="n">
        <v>129</v>
      </c>
      <c r="K292" s="4" t="n">
        <v>75</v>
      </c>
      <c r="L292" s="23" t="n">
        <f aca="false">IF(J292&gt;=5,K292/J292,"too few builds")</f>
        <v>0.581395348837209</v>
      </c>
      <c r="M292" s="22" t="n">
        <v>0</v>
      </c>
      <c r="N292" s="22" t="n">
        <v>0</v>
      </c>
      <c r="O292" s="4"/>
      <c r="P292" s="4"/>
      <c r="Q292" s="4"/>
      <c r="R292" s="4" t="s">
        <v>1458</v>
      </c>
    </row>
    <row r="293" customFormat="false" ht="15" hidden="false" customHeight="false" outlineLevel="0" collapsed="false">
      <c r="A293" s="4" t="s">
        <v>1459</v>
      </c>
      <c r="B293" s="4" t="s">
        <v>403</v>
      </c>
      <c r="C293" s="4" t="s">
        <v>379</v>
      </c>
      <c r="D293" s="4" t="s">
        <v>359</v>
      </c>
      <c r="E293" s="4" t="s">
        <v>1460</v>
      </c>
      <c r="F293" s="4" t="s">
        <v>1460</v>
      </c>
      <c r="G293" s="4" t="n">
        <v>55</v>
      </c>
      <c r="H293" s="4" t="s">
        <v>359</v>
      </c>
      <c r="I293" s="22" t="n">
        <v>0.06</v>
      </c>
      <c r="J293" s="4" t="n">
        <v>68</v>
      </c>
      <c r="K293" s="4" t="n">
        <v>30</v>
      </c>
      <c r="L293" s="23" t="n">
        <f aca="false">IF(J293&gt;=5,K293/J293,"too few builds")</f>
        <v>0.441176470588235</v>
      </c>
      <c r="M293" s="22" t="n">
        <v>0</v>
      </c>
      <c r="N293" s="22" t="n">
        <v>0</v>
      </c>
      <c r="O293" s="4"/>
      <c r="P293" s="4" t="s">
        <v>1461</v>
      </c>
      <c r="Q293" s="4"/>
      <c r="R293" s="4" t="s">
        <v>1462</v>
      </c>
    </row>
    <row r="294" customFormat="false" ht="15" hidden="false" customHeight="false" outlineLevel="0" collapsed="false">
      <c r="A294" s="4" t="s">
        <v>1463</v>
      </c>
      <c r="B294" s="4" t="s">
        <v>432</v>
      </c>
      <c r="C294" s="4" t="s">
        <v>379</v>
      </c>
      <c r="D294" s="4" t="s">
        <v>369</v>
      </c>
      <c r="E294" s="4" t="s">
        <v>1464</v>
      </c>
      <c r="F294" s="4" t="s">
        <v>1464</v>
      </c>
      <c r="G294" s="4" t="n">
        <v>75</v>
      </c>
      <c r="H294" s="4" t="s">
        <v>359</v>
      </c>
      <c r="I294" s="22" t="n">
        <v>0.08</v>
      </c>
      <c r="J294" s="4" t="n">
        <v>100</v>
      </c>
      <c r="K294" s="4" t="n">
        <v>31</v>
      </c>
      <c r="L294" s="23" t="n">
        <f aca="false">IF(J294&gt;=5,K294/J294,"too few builds")</f>
        <v>0.31</v>
      </c>
      <c r="M294" s="22" t="n">
        <v>0</v>
      </c>
      <c r="N294" s="22" t="n">
        <v>0</v>
      </c>
      <c r="O294" s="4"/>
      <c r="P294" s="4"/>
      <c r="Q294" s="4"/>
      <c r="R294" s="4" t="s">
        <v>1465</v>
      </c>
    </row>
    <row r="295" customFormat="false" ht="15" hidden="false" customHeight="false" outlineLevel="0" collapsed="false">
      <c r="A295" s="4" t="s">
        <v>1466</v>
      </c>
      <c r="B295" s="4" t="s">
        <v>756</v>
      </c>
      <c r="C295" s="4" t="s">
        <v>379</v>
      </c>
      <c r="D295" s="4" t="s">
        <v>359</v>
      </c>
      <c r="E295" s="4" t="s">
        <v>1467</v>
      </c>
      <c r="F295" s="4" t="s">
        <v>940</v>
      </c>
      <c r="G295" s="4" t="n">
        <v>35</v>
      </c>
      <c r="H295" s="4" t="s">
        <v>359</v>
      </c>
      <c r="I295" s="22" t="n">
        <v>0.05</v>
      </c>
      <c r="J295" s="4" t="n">
        <v>130</v>
      </c>
      <c r="K295" s="4" t="n">
        <v>19</v>
      </c>
      <c r="L295" s="23" t="n">
        <f aca="false">IF(J295&gt;=5,K295/J295,"too few builds")</f>
        <v>0.146153846153846</v>
      </c>
      <c r="M295" s="22" t="n">
        <v>0</v>
      </c>
      <c r="N295" s="22" t="n">
        <v>0</v>
      </c>
      <c r="O295" s="4"/>
      <c r="P295" s="4" t="s">
        <v>1468</v>
      </c>
      <c r="Q295" s="4"/>
      <c r="R295" s="4" t="s">
        <v>1469</v>
      </c>
    </row>
    <row r="296" customFormat="false" ht="15" hidden="false" customHeight="false" outlineLevel="0" collapsed="false">
      <c r="A296" s="4" t="s">
        <v>1470</v>
      </c>
      <c r="B296" s="4" t="s">
        <v>1414</v>
      </c>
      <c r="C296" s="4" t="s">
        <v>379</v>
      </c>
      <c r="D296" s="4" t="s">
        <v>359</v>
      </c>
      <c r="E296" s="4" t="s">
        <v>1471</v>
      </c>
      <c r="F296" s="4" t="s">
        <v>1471</v>
      </c>
      <c r="G296" s="4" t="n">
        <v>65</v>
      </c>
      <c r="H296" s="4" t="s">
        <v>359</v>
      </c>
      <c r="I296" s="22" t="n">
        <v>0.06</v>
      </c>
      <c r="J296" s="4" t="n">
        <v>39</v>
      </c>
      <c r="K296" s="4" t="n">
        <v>26</v>
      </c>
      <c r="L296" s="23" t="n">
        <f aca="false">IF(J296&gt;=5,K296/J296,"too few builds")</f>
        <v>0.666666666666667</v>
      </c>
      <c r="M296" s="22" t="n">
        <v>0</v>
      </c>
      <c r="N296" s="22" t="n">
        <v>0</v>
      </c>
      <c r="O296" s="4"/>
      <c r="P296" s="4"/>
      <c r="Q296" s="4"/>
      <c r="R296" s="4" t="s">
        <v>1472</v>
      </c>
    </row>
    <row r="297" customFormat="false" ht="15" hidden="false" customHeight="false" outlineLevel="0" collapsed="false">
      <c r="A297" s="4" t="s">
        <v>1473</v>
      </c>
      <c r="B297" s="4" t="s">
        <v>1414</v>
      </c>
      <c r="C297" s="4" t="s">
        <v>379</v>
      </c>
      <c r="D297" s="4" t="s">
        <v>359</v>
      </c>
      <c r="E297" s="4" t="s">
        <v>926</v>
      </c>
      <c r="F297" s="4" t="s">
        <v>926</v>
      </c>
      <c r="G297" s="4" t="n">
        <v>65</v>
      </c>
      <c r="H297" s="4" t="s">
        <v>359</v>
      </c>
      <c r="I297" s="22" t="n">
        <v>0.1</v>
      </c>
      <c r="J297" s="4" t="n">
        <v>74</v>
      </c>
      <c r="K297" s="4" t="n">
        <v>52</v>
      </c>
      <c r="L297" s="23" t="n">
        <f aca="false">IF(J297&gt;=5,K297/J297,"too few builds")</f>
        <v>0.702702702702703</v>
      </c>
      <c r="M297" s="22" t="n">
        <v>0</v>
      </c>
      <c r="N297" s="22" t="n">
        <v>0</v>
      </c>
      <c r="O297" s="4"/>
      <c r="P297" s="4"/>
      <c r="Q297" s="4"/>
      <c r="R297" s="4" t="s">
        <v>1474</v>
      </c>
    </row>
    <row r="298" customFormat="false" ht="15" hidden="false" customHeight="false" outlineLevel="0" collapsed="false">
      <c r="A298" s="4" t="s">
        <v>1475</v>
      </c>
      <c r="B298" s="4" t="s">
        <v>383</v>
      </c>
      <c r="C298" s="4" t="s">
        <v>419</v>
      </c>
      <c r="D298" s="4" t="s">
        <v>359</v>
      </c>
      <c r="E298" s="4" t="s">
        <v>1476</v>
      </c>
      <c r="F298" s="4" t="s">
        <v>1477</v>
      </c>
      <c r="G298" s="4" t="n">
        <v>95</v>
      </c>
      <c r="H298" s="4" t="s">
        <v>359</v>
      </c>
      <c r="I298" s="22" t="n">
        <v>0</v>
      </c>
      <c r="J298" s="4" t="n">
        <v>15</v>
      </c>
      <c r="K298" s="4" t="n">
        <v>13</v>
      </c>
      <c r="L298" s="23" t="n">
        <f aca="false">IF(J298&gt;=5,K298/J298,"too few builds")</f>
        <v>0.866666666666667</v>
      </c>
      <c r="M298" s="22" t="n">
        <v>0</v>
      </c>
      <c r="N298" s="22" t="n">
        <v>0</v>
      </c>
      <c r="O298" s="4"/>
      <c r="P298" s="4"/>
      <c r="Q298" s="4"/>
      <c r="R298" s="4" t="s">
        <v>1478</v>
      </c>
    </row>
    <row r="299" customFormat="false" ht="15" hidden="false" customHeight="false" outlineLevel="0" collapsed="false">
      <c r="A299" s="4" t="s">
        <v>1479</v>
      </c>
      <c r="B299" s="4" t="s">
        <v>445</v>
      </c>
      <c r="C299" s="4" t="s">
        <v>584</v>
      </c>
      <c r="D299" s="4" t="s">
        <v>369</v>
      </c>
      <c r="E299" s="4" t="s">
        <v>1070</v>
      </c>
      <c r="F299" s="4" t="s">
        <v>1070</v>
      </c>
      <c r="G299" s="4" t="n">
        <v>80</v>
      </c>
      <c r="H299" s="4" t="s">
        <v>359</v>
      </c>
      <c r="I299" s="22" t="n">
        <v>0</v>
      </c>
      <c r="J299" s="4" t="n">
        <v>92</v>
      </c>
      <c r="K299" s="4" t="n">
        <v>43</v>
      </c>
      <c r="L299" s="23" t="n">
        <f aca="false">IF(J299&gt;=5,K299/J299,"too few builds")</f>
        <v>0.467391304347826</v>
      </c>
      <c r="M299" s="22" t="n">
        <v>0</v>
      </c>
      <c r="N299" s="22" t="n">
        <v>0</v>
      </c>
      <c r="O299" s="4"/>
      <c r="P299" s="4"/>
      <c r="Q299" s="4"/>
      <c r="R299" s="4" t="s">
        <v>1480</v>
      </c>
    </row>
    <row r="300" customFormat="false" ht="15" hidden="false" customHeight="false" outlineLevel="0" collapsed="false">
      <c r="A300" s="4" t="s">
        <v>1481</v>
      </c>
      <c r="B300" s="4" t="s">
        <v>1119</v>
      </c>
      <c r="C300" s="4" t="s">
        <v>332</v>
      </c>
      <c r="D300" s="4" t="s">
        <v>369</v>
      </c>
      <c r="E300" s="4" t="s">
        <v>1120</v>
      </c>
      <c r="F300" s="4" t="s">
        <v>371</v>
      </c>
      <c r="G300" s="4" t="n">
        <v>0</v>
      </c>
      <c r="H300" s="4" t="s">
        <v>369</v>
      </c>
      <c r="I300" s="22" t="n">
        <v>0</v>
      </c>
      <c r="J300" s="4" t="n">
        <v>25</v>
      </c>
      <c r="K300" s="4" t="n">
        <v>6</v>
      </c>
      <c r="L300" s="23" t="n">
        <f aca="false">IF(J300&gt;=5,K300/J300,"too few builds")</f>
        <v>0.24</v>
      </c>
      <c r="M300" s="22" t="n">
        <v>0</v>
      </c>
      <c r="N300" s="22" t="n">
        <v>0</v>
      </c>
      <c r="O300" s="4"/>
      <c r="P300" s="4"/>
      <c r="Q300" s="4"/>
      <c r="R300" s="4"/>
    </row>
    <row r="301" customFormat="false" ht="15" hidden="false" customHeight="false" outlineLevel="0" collapsed="false">
      <c r="A301" s="4" t="s">
        <v>1482</v>
      </c>
      <c r="B301" s="4" t="s">
        <v>1483</v>
      </c>
      <c r="C301" s="4" t="s">
        <v>332</v>
      </c>
      <c r="D301" s="4" t="s">
        <v>369</v>
      </c>
      <c r="E301" s="4" t="s">
        <v>1484</v>
      </c>
      <c r="F301" s="4" t="s">
        <v>371</v>
      </c>
      <c r="G301" s="4" t="n">
        <v>0</v>
      </c>
      <c r="H301" s="4" t="s">
        <v>369</v>
      </c>
      <c r="I301" s="22" t="n">
        <v>0</v>
      </c>
      <c r="J301" s="4" t="n">
        <v>21</v>
      </c>
      <c r="K301" s="4" t="n">
        <v>6</v>
      </c>
      <c r="L301" s="23" t="n">
        <f aca="false">IF(J301&gt;=5,K301/J301,"too few builds")</f>
        <v>0.285714285714286</v>
      </c>
      <c r="M301" s="22" t="n">
        <v>0</v>
      </c>
      <c r="N301" s="22" t="n">
        <v>0</v>
      </c>
      <c r="O301" s="4"/>
      <c r="P301" s="4"/>
      <c r="Q301" s="4"/>
      <c r="R301" s="4" t="s">
        <v>1485</v>
      </c>
    </row>
    <row r="302" customFormat="false" ht="15" hidden="false" customHeight="false" outlineLevel="0" collapsed="false">
      <c r="A302" s="4" t="s">
        <v>1142</v>
      </c>
      <c r="B302" s="4" t="s">
        <v>527</v>
      </c>
      <c r="C302" s="4" t="s">
        <v>419</v>
      </c>
      <c r="D302" s="4" t="s">
        <v>359</v>
      </c>
      <c r="E302" s="4" t="s">
        <v>1486</v>
      </c>
      <c r="F302" s="4" t="s">
        <v>1487</v>
      </c>
      <c r="G302" s="4" t="n">
        <v>75</v>
      </c>
      <c r="H302" s="4" t="s">
        <v>359</v>
      </c>
      <c r="I302" s="22" t="n">
        <v>0</v>
      </c>
      <c r="J302" s="4" t="n">
        <v>11</v>
      </c>
      <c r="K302" s="4" t="n">
        <v>3</v>
      </c>
      <c r="L302" s="23" t="n">
        <f aca="false">IF(J302&gt;=5,K302/J302,"too few builds")</f>
        <v>0.272727272727273</v>
      </c>
      <c r="M302" s="22" t="n">
        <v>0</v>
      </c>
      <c r="N302" s="22" t="n">
        <v>0</v>
      </c>
      <c r="O302" s="4"/>
      <c r="P302" s="4"/>
      <c r="Q302" s="4"/>
      <c r="R302" s="4" t="s">
        <v>1488</v>
      </c>
    </row>
    <row r="303" customFormat="false" ht="15" hidden="false" customHeight="false" outlineLevel="0" collapsed="false">
      <c r="A303" s="4" t="s">
        <v>1489</v>
      </c>
      <c r="B303" s="4" t="s">
        <v>1225</v>
      </c>
      <c r="C303" s="4" t="s">
        <v>584</v>
      </c>
      <c r="D303" s="4" t="s">
        <v>369</v>
      </c>
      <c r="E303" s="4" t="s">
        <v>585</v>
      </c>
      <c r="F303" s="4" t="s">
        <v>371</v>
      </c>
      <c r="G303" s="4" t="n">
        <v>0</v>
      </c>
      <c r="H303" s="4" t="s">
        <v>369</v>
      </c>
      <c r="I303" s="22" t="n">
        <v>0</v>
      </c>
      <c r="J303" s="4" t="n">
        <v>500</v>
      </c>
      <c r="K303" s="4" t="n">
        <v>5</v>
      </c>
      <c r="L303" s="23" t="n">
        <f aca="false">IF(J303&gt;=5,K303/J303,"too few builds")</f>
        <v>0.01</v>
      </c>
      <c r="M303" s="22" t="n">
        <v>0</v>
      </c>
      <c r="N303" s="22" t="n">
        <v>0</v>
      </c>
      <c r="O303" s="4"/>
      <c r="P303" s="4"/>
      <c r="Q303" s="4"/>
      <c r="R303" s="4" t="s">
        <v>1490</v>
      </c>
    </row>
    <row r="304" customFormat="false" ht="15" hidden="false" customHeight="false" outlineLevel="0" collapsed="false">
      <c r="A304" s="4" t="s">
        <v>1491</v>
      </c>
      <c r="B304" s="4" t="s">
        <v>602</v>
      </c>
      <c r="C304" s="4" t="s">
        <v>379</v>
      </c>
      <c r="D304" s="4" t="s">
        <v>359</v>
      </c>
      <c r="E304" s="4" t="s">
        <v>1492</v>
      </c>
      <c r="F304" s="4" t="s">
        <v>1492</v>
      </c>
      <c r="G304" s="4" t="n">
        <v>15</v>
      </c>
      <c r="H304" s="4" t="s">
        <v>359</v>
      </c>
      <c r="I304" s="22" t="n">
        <v>0</v>
      </c>
      <c r="J304" s="4" t="n">
        <v>444</v>
      </c>
      <c r="K304" s="4" t="n">
        <v>17</v>
      </c>
      <c r="L304" s="23" t="n">
        <f aca="false">IF(J304&gt;=5,K304/J304,"too few builds")</f>
        <v>0.0382882882882883</v>
      </c>
      <c r="M304" s="22" t="n">
        <v>0</v>
      </c>
      <c r="N304" s="22" t="n">
        <v>0</v>
      </c>
      <c r="O304" s="4"/>
      <c r="P304" s="4"/>
      <c r="Q304" s="4"/>
      <c r="R304" s="4" t="s">
        <v>1493</v>
      </c>
    </row>
    <row r="305" customFormat="false" ht="15" hidden="false" customHeight="false" outlineLevel="0" collapsed="false">
      <c r="A305" s="4" t="s">
        <v>1494</v>
      </c>
      <c r="B305" s="4" t="s">
        <v>1175</v>
      </c>
      <c r="C305" s="4" t="s">
        <v>379</v>
      </c>
      <c r="D305" s="4" t="s">
        <v>359</v>
      </c>
      <c r="E305" s="4" t="s">
        <v>1495</v>
      </c>
      <c r="F305" s="4" t="s">
        <v>371</v>
      </c>
      <c r="G305" s="4" t="n">
        <v>0</v>
      </c>
      <c r="H305" s="4" t="s">
        <v>369</v>
      </c>
      <c r="I305" s="22" t="n">
        <v>0.06</v>
      </c>
      <c r="J305" s="4" t="n">
        <v>500</v>
      </c>
      <c r="K305" s="4" t="n">
        <v>25</v>
      </c>
      <c r="L305" s="23" t="n">
        <f aca="false">IF(J305&gt;=5,K305/J305,"too few builds")</f>
        <v>0.05</v>
      </c>
      <c r="M305" s="22" t="n">
        <v>0</v>
      </c>
      <c r="N305" s="22" t="n">
        <v>0</v>
      </c>
      <c r="O305" s="4"/>
      <c r="P305" s="4"/>
      <c r="Q305" s="4"/>
      <c r="R305" s="4" t="s">
        <v>1496</v>
      </c>
    </row>
    <row r="306" customFormat="false" ht="15" hidden="false" customHeight="false" outlineLevel="0" collapsed="false">
      <c r="A306" s="4" t="s">
        <v>1497</v>
      </c>
      <c r="B306" s="4" t="s">
        <v>565</v>
      </c>
      <c r="C306" s="4" t="s">
        <v>379</v>
      </c>
      <c r="D306" s="4" t="s">
        <v>359</v>
      </c>
      <c r="E306" s="4" t="s">
        <v>1294</v>
      </c>
      <c r="F306" s="4" t="s">
        <v>554</v>
      </c>
      <c r="G306" s="4" t="n">
        <v>60</v>
      </c>
      <c r="H306" s="4" t="s">
        <v>359</v>
      </c>
      <c r="I306" s="22" t="n">
        <v>0.03</v>
      </c>
      <c r="J306" s="4" t="n">
        <v>46</v>
      </c>
      <c r="K306" s="4" t="n">
        <v>10</v>
      </c>
      <c r="L306" s="23" t="n">
        <f aca="false">IF(J306&gt;=5,K306/J306,"too few builds")</f>
        <v>0.217391304347826</v>
      </c>
      <c r="M306" s="22" t="n">
        <v>0</v>
      </c>
      <c r="N306" s="22" t="n">
        <v>0</v>
      </c>
      <c r="O306" s="4"/>
      <c r="P306" s="4" t="s">
        <v>1498</v>
      </c>
      <c r="Q306" s="4"/>
      <c r="R306" s="4" t="s">
        <v>1499</v>
      </c>
    </row>
    <row r="307" customFormat="false" ht="15" hidden="false" customHeight="false" outlineLevel="0" collapsed="false">
      <c r="A307" s="4" t="s">
        <v>1500</v>
      </c>
      <c r="B307" s="4" t="s">
        <v>1501</v>
      </c>
      <c r="C307" s="4" t="s">
        <v>379</v>
      </c>
      <c r="D307" s="4" t="s">
        <v>359</v>
      </c>
      <c r="E307" s="4" t="s">
        <v>1502</v>
      </c>
      <c r="F307" s="4" t="s">
        <v>1502</v>
      </c>
      <c r="G307" s="4" t="n">
        <v>45</v>
      </c>
      <c r="H307" s="4" t="s">
        <v>359</v>
      </c>
      <c r="I307" s="22" t="n">
        <v>0.04</v>
      </c>
      <c r="J307" s="4" t="n">
        <v>129</v>
      </c>
      <c r="K307" s="4" t="n">
        <v>21</v>
      </c>
      <c r="L307" s="23" t="n">
        <f aca="false">IF(J307&gt;=5,K307/J307,"too few builds")</f>
        <v>0.162790697674419</v>
      </c>
      <c r="M307" s="22" t="n">
        <v>0</v>
      </c>
      <c r="N307" s="22" t="n">
        <v>0</v>
      </c>
      <c r="O307" s="4"/>
      <c r="P307" s="4" t="s">
        <v>1503</v>
      </c>
      <c r="Q307" s="4"/>
      <c r="R307" s="4" t="s">
        <v>1504</v>
      </c>
    </row>
    <row r="308" customFormat="false" ht="15" hidden="false" customHeight="false" outlineLevel="0" collapsed="false">
      <c r="A308" s="4" t="s">
        <v>1505</v>
      </c>
      <c r="B308" s="4" t="s">
        <v>924</v>
      </c>
      <c r="C308" s="4" t="s">
        <v>379</v>
      </c>
      <c r="D308" s="4" t="s">
        <v>359</v>
      </c>
      <c r="E308" s="4" t="s">
        <v>925</v>
      </c>
      <c r="F308" s="4" t="s">
        <v>926</v>
      </c>
      <c r="G308" s="4" t="n">
        <v>65</v>
      </c>
      <c r="H308" s="4" t="s">
        <v>359</v>
      </c>
      <c r="I308" s="22" t="n">
        <v>0.1</v>
      </c>
      <c r="J308" s="4" t="n">
        <v>74</v>
      </c>
      <c r="K308" s="4" t="n">
        <v>49</v>
      </c>
      <c r="L308" s="23" t="n">
        <f aca="false">IF(J308&gt;=5,K308/J308,"too few builds")</f>
        <v>0.662162162162162</v>
      </c>
      <c r="M308" s="22" t="n">
        <v>0</v>
      </c>
      <c r="N308" s="22" t="n">
        <v>0</v>
      </c>
      <c r="O308" s="4"/>
      <c r="P308" s="4"/>
      <c r="Q308" s="4"/>
      <c r="R308" s="4" t="s">
        <v>1506</v>
      </c>
    </row>
    <row r="309" customFormat="false" ht="15" hidden="false" customHeight="false" outlineLevel="0" collapsed="false">
      <c r="A309" s="4" t="s">
        <v>1507</v>
      </c>
      <c r="B309" s="4" t="s">
        <v>970</v>
      </c>
      <c r="C309" s="4" t="s">
        <v>332</v>
      </c>
      <c r="D309" s="4" t="s">
        <v>369</v>
      </c>
      <c r="E309" s="4" t="s">
        <v>971</v>
      </c>
      <c r="F309" s="4" t="s">
        <v>371</v>
      </c>
      <c r="G309" s="4" t="n">
        <v>0</v>
      </c>
      <c r="H309" s="4" t="s">
        <v>369</v>
      </c>
      <c r="I309" s="22" t="n">
        <v>0</v>
      </c>
      <c r="J309" s="4" t="n">
        <v>21</v>
      </c>
      <c r="K309" s="4" t="n">
        <v>8</v>
      </c>
      <c r="L309" s="23" t="n">
        <f aca="false">IF(J309&gt;=5,K309/J309,"too few builds")</f>
        <v>0.380952380952381</v>
      </c>
      <c r="M309" s="22" t="n">
        <v>0</v>
      </c>
      <c r="N309" s="22" t="n">
        <v>0</v>
      </c>
      <c r="O309" s="4"/>
      <c r="P309" s="4"/>
      <c r="Q309" s="4"/>
      <c r="R309" s="4" t="s">
        <v>1508</v>
      </c>
    </row>
    <row r="310" customFormat="false" ht="15" hidden="false" customHeight="false" outlineLevel="0" collapsed="false">
      <c r="A310" s="4" t="s">
        <v>1509</v>
      </c>
      <c r="B310" s="4" t="s">
        <v>436</v>
      </c>
      <c r="C310" s="4" t="s">
        <v>379</v>
      </c>
      <c r="D310" s="4" t="s">
        <v>359</v>
      </c>
      <c r="E310" s="4" t="s">
        <v>1510</v>
      </c>
      <c r="F310" s="4" t="s">
        <v>437</v>
      </c>
      <c r="G310" s="4" t="n">
        <v>40</v>
      </c>
      <c r="H310" s="4" t="s">
        <v>359</v>
      </c>
      <c r="I310" s="22" t="n">
        <v>0.22</v>
      </c>
      <c r="J310" s="4" t="n">
        <v>130</v>
      </c>
      <c r="K310" s="4" t="n">
        <v>112</v>
      </c>
      <c r="L310" s="23" t="n">
        <f aca="false">IF(J310&gt;=5,K310/J310,"too few builds")</f>
        <v>0.861538461538462</v>
      </c>
      <c r="M310" s="22" t="n">
        <v>0</v>
      </c>
      <c r="N310" s="22" t="n">
        <v>0</v>
      </c>
      <c r="O310" s="4"/>
      <c r="P310" s="4" t="s">
        <v>1511</v>
      </c>
      <c r="Q310" s="4"/>
      <c r="R310" s="4" t="s">
        <v>1512</v>
      </c>
    </row>
    <row r="311" customFormat="false" ht="15" hidden="false" customHeight="false" outlineLevel="0" collapsed="false">
      <c r="A311" s="4" t="s">
        <v>1513</v>
      </c>
      <c r="B311" s="4" t="s">
        <v>688</v>
      </c>
      <c r="C311" s="4" t="s">
        <v>379</v>
      </c>
      <c r="D311" s="4" t="s">
        <v>359</v>
      </c>
      <c r="E311" s="4" t="s">
        <v>529</v>
      </c>
      <c r="F311" s="4" t="s">
        <v>529</v>
      </c>
      <c r="G311" s="4" t="n">
        <v>30</v>
      </c>
      <c r="H311" s="4" t="s">
        <v>359</v>
      </c>
      <c r="I311" s="22" t="n">
        <v>0.1</v>
      </c>
      <c r="J311" s="4" t="n">
        <v>147</v>
      </c>
      <c r="K311" s="4" t="n">
        <v>46</v>
      </c>
      <c r="L311" s="23" t="n">
        <f aca="false">IF(J311&gt;=5,K311/J311,"too few builds")</f>
        <v>0.312925170068027</v>
      </c>
      <c r="M311" s="22" t="n">
        <v>0</v>
      </c>
      <c r="N311" s="22" t="n">
        <v>0</v>
      </c>
      <c r="O311" s="4"/>
      <c r="P311" s="4" t="s">
        <v>1514</v>
      </c>
      <c r="Q311" s="4"/>
      <c r="R311" s="4" t="s">
        <v>1515</v>
      </c>
    </row>
    <row r="312" customFormat="false" ht="15" hidden="false" customHeight="false" outlineLevel="0" collapsed="false">
      <c r="A312" s="4" t="s">
        <v>1516</v>
      </c>
      <c r="B312" s="4" t="s">
        <v>1517</v>
      </c>
      <c r="C312" s="4" t="s">
        <v>584</v>
      </c>
      <c r="D312" s="4" t="s">
        <v>369</v>
      </c>
      <c r="E312" s="4" t="s">
        <v>585</v>
      </c>
      <c r="F312" s="4" t="s">
        <v>371</v>
      </c>
      <c r="G312" s="4" t="n">
        <v>0</v>
      </c>
      <c r="H312" s="4" t="s">
        <v>369</v>
      </c>
      <c r="I312" s="22" t="n">
        <v>0</v>
      </c>
      <c r="J312" s="4" t="n">
        <v>500</v>
      </c>
      <c r="K312" s="4" t="n">
        <v>6</v>
      </c>
      <c r="L312" s="23" t="n">
        <f aca="false">IF(J312&gt;=5,K312/J312,"too few builds")</f>
        <v>0.012</v>
      </c>
      <c r="M312" s="22" t="n">
        <v>0</v>
      </c>
      <c r="N312" s="22" t="n">
        <v>0</v>
      </c>
      <c r="O312" s="4"/>
      <c r="P312" s="4"/>
      <c r="Q312" s="4"/>
      <c r="R312" s="4" t="s">
        <v>1518</v>
      </c>
    </row>
    <row r="313" customFormat="false" ht="15" hidden="false" customHeight="false" outlineLevel="0" collapsed="false">
      <c r="A313" s="4" t="s">
        <v>1519</v>
      </c>
      <c r="B313" s="4" t="s">
        <v>1520</v>
      </c>
      <c r="C313" s="4" t="s">
        <v>419</v>
      </c>
      <c r="D313" s="4" t="s">
        <v>359</v>
      </c>
      <c r="E313" s="4" t="s">
        <v>1521</v>
      </c>
      <c r="F313" s="4" t="s">
        <v>1521</v>
      </c>
      <c r="G313" s="4" t="n">
        <v>35</v>
      </c>
      <c r="H313" s="4" t="s">
        <v>359</v>
      </c>
      <c r="I313" s="22" t="n">
        <v>0.17</v>
      </c>
      <c r="J313" s="4" t="n">
        <v>432</v>
      </c>
      <c r="K313" s="4" t="n">
        <v>84</v>
      </c>
      <c r="L313" s="23" t="n">
        <f aca="false">IF(J313&gt;=5,K313/J313,"too few builds")</f>
        <v>0.194444444444444</v>
      </c>
      <c r="M313" s="22" t="n">
        <v>0</v>
      </c>
      <c r="N313" s="22" t="n">
        <v>0</v>
      </c>
      <c r="O313" s="4"/>
      <c r="P313" s="4" t="s">
        <v>1522</v>
      </c>
      <c r="Q313" s="4"/>
      <c r="R313" s="4" t="s">
        <v>1523</v>
      </c>
    </row>
    <row r="314" customFormat="false" ht="15" hidden="false" customHeight="false" outlineLevel="0" collapsed="false">
      <c r="A314" s="4" t="s">
        <v>1524</v>
      </c>
      <c r="B314" s="4" t="s">
        <v>626</v>
      </c>
      <c r="C314" s="4" t="s">
        <v>379</v>
      </c>
      <c r="D314" s="4" t="s">
        <v>359</v>
      </c>
      <c r="E314" s="4" t="s">
        <v>1525</v>
      </c>
      <c r="F314" s="4" t="s">
        <v>1525</v>
      </c>
      <c r="G314" s="4" t="n">
        <v>30</v>
      </c>
      <c r="H314" s="4" t="s">
        <v>359</v>
      </c>
      <c r="I314" s="22" t="n">
        <v>0</v>
      </c>
      <c r="J314" s="4" t="n">
        <v>266</v>
      </c>
      <c r="K314" s="4" t="n">
        <v>10</v>
      </c>
      <c r="L314" s="23" t="n">
        <f aca="false">IF(J314&gt;=5,K314/J314,"too few builds")</f>
        <v>0.037593984962406</v>
      </c>
      <c r="M314" s="22" t="n">
        <v>0</v>
      </c>
      <c r="N314" s="22" t="n">
        <v>0</v>
      </c>
      <c r="O314" s="4"/>
      <c r="P314" s="4"/>
      <c r="Q314" s="4"/>
      <c r="R314" s="4" t="s">
        <v>1526</v>
      </c>
    </row>
    <row r="315" customFormat="false" ht="15" hidden="false" customHeight="false" outlineLevel="0" collapsed="false">
      <c r="A315" s="4" t="s">
        <v>1527</v>
      </c>
      <c r="B315" s="4" t="s">
        <v>1175</v>
      </c>
      <c r="C315" s="4" t="s">
        <v>379</v>
      </c>
      <c r="D315" s="4" t="s">
        <v>359</v>
      </c>
      <c r="E315" s="4" t="s">
        <v>1495</v>
      </c>
      <c r="F315" s="4" t="s">
        <v>371</v>
      </c>
      <c r="G315" s="4" t="n">
        <v>0</v>
      </c>
      <c r="H315" s="4" t="s">
        <v>369</v>
      </c>
      <c r="I315" s="22" t="n">
        <v>0</v>
      </c>
      <c r="J315" s="4" t="n">
        <v>500</v>
      </c>
      <c r="K315" s="4" t="n">
        <v>9</v>
      </c>
      <c r="L315" s="23" t="n">
        <f aca="false">IF(J315&gt;=5,K315/J315,"too few builds")</f>
        <v>0.018</v>
      </c>
      <c r="M315" s="22" t="n">
        <v>0</v>
      </c>
      <c r="N315" s="22" t="n">
        <v>0</v>
      </c>
      <c r="O315" s="4"/>
      <c r="P315" s="4"/>
      <c r="Q315" s="4"/>
      <c r="R315" s="4" t="s">
        <v>1528</v>
      </c>
    </row>
    <row r="316" customFormat="false" ht="15" hidden="false" customHeight="false" outlineLevel="0" collapsed="false">
      <c r="A316" s="4" t="s">
        <v>1529</v>
      </c>
      <c r="B316" s="4" t="s">
        <v>423</v>
      </c>
      <c r="C316" s="4" t="s">
        <v>379</v>
      </c>
      <c r="D316" s="4" t="s">
        <v>359</v>
      </c>
      <c r="E316" s="4" t="s">
        <v>1530</v>
      </c>
      <c r="F316" s="4" t="s">
        <v>1530</v>
      </c>
      <c r="G316" s="4" t="n">
        <v>60</v>
      </c>
      <c r="H316" s="4" t="s">
        <v>359</v>
      </c>
      <c r="I316" s="22" t="n">
        <v>0.18</v>
      </c>
      <c r="J316" s="4" t="n">
        <v>87</v>
      </c>
      <c r="K316" s="4" t="n">
        <v>78</v>
      </c>
      <c r="L316" s="23" t="n">
        <f aca="false">IF(J316&gt;=5,K316/J316,"too few builds")</f>
        <v>0.896551724137931</v>
      </c>
      <c r="M316" s="22" t="n">
        <v>0</v>
      </c>
      <c r="N316" s="22" t="n">
        <v>0</v>
      </c>
      <c r="O316" s="4"/>
      <c r="P316" s="4" t="s">
        <v>1531</v>
      </c>
      <c r="Q316" s="4"/>
      <c r="R316" s="4" t="s">
        <v>1532</v>
      </c>
    </row>
    <row r="317" customFormat="false" ht="15" hidden="false" customHeight="false" outlineLevel="0" collapsed="false">
      <c r="A317" s="4" t="s">
        <v>1533</v>
      </c>
      <c r="B317" s="4" t="s">
        <v>432</v>
      </c>
      <c r="C317" s="4" t="s">
        <v>379</v>
      </c>
      <c r="D317" s="4" t="s">
        <v>369</v>
      </c>
      <c r="E317" s="4" t="s">
        <v>1534</v>
      </c>
      <c r="F317" s="4" t="s">
        <v>1534</v>
      </c>
      <c r="G317" s="4" t="n">
        <v>75</v>
      </c>
      <c r="H317" s="4" t="s">
        <v>359</v>
      </c>
      <c r="I317" s="22" t="n">
        <v>0.06</v>
      </c>
      <c r="J317" s="4" t="n">
        <v>69</v>
      </c>
      <c r="K317" s="4" t="n">
        <v>31</v>
      </c>
      <c r="L317" s="23" t="n">
        <f aca="false">IF(J317&gt;=5,K317/J317,"too few builds")</f>
        <v>0.449275362318841</v>
      </c>
      <c r="M317" s="22" t="n">
        <v>0</v>
      </c>
      <c r="N317" s="22" t="n">
        <v>0</v>
      </c>
      <c r="O317" s="4"/>
      <c r="P317" s="4"/>
      <c r="Q317" s="4"/>
      <c r="R317" s="4" t="s">
        <v>1535</v>
      </c>
    </row>
    <row r="318" customFormat="false" ht="15" hidden="false" customHeight="false" outlineLevel="0" collapsed="false">
      <c r="A318" s="4" t="s">
        <v>1536</v>
      </c>
      <c r="B318" s="4" t="s">
        <v>1537</v>
      </c>
      <c r="C318" s="4" t="s">
        <v>379</v>
      </c>
      <c r="D318" s="4" t="s">
        <v>359</v>
      </c>
      <c r="E318" s="4" t="s">
        <v>1538</v>
      </c>
      <c r="F318" s="4" t="s">
        <v>1539</v>
      </c>
      <c r="G318" s="4" t="n">
        <v>25</v>
      </c>
      <c r="H318" s="4" t="s">
        <v>359</v>
      </c>
      <c r="I318" s="22" t="n">
        <v>0</v>
      </c>
      <c r="J318" s="4" t="n">
        <v>79</v>
      </c>
      <c r="K318" s="4" t="n">
        <v>7</v>
      </c>
      <c r="L318" s="23" t="n">
        <f aca="false">IF(J318&gt;=5,K318/J318,"too few builds")</f>
        <v>0.0886075949367089</v>
      </c>
      <c r="M318" s="22" t="n">
        <v>0</v>
      </c>
      <c r="N318" s="22" t="n">
        <v>0</v>
      </c>
      <c r="O318" s="4"/>
      <c r="P318" s="4"/>
      <c r="Q318" s="4"/>
      <c r="R318" s="4" t="s">
        <v>1540</v>
      </c>
    </row>
    <row r="319" customFormat="false" ht="15" hidden="false" customHeight="false" outlineLevel="0" collapsed="false">
      <c r="A319" s="4" t="s">
        <v>1541</v>
      </c>
      <c r="B319" s="4" t="s">
        <v>1542</v>
      </c>
      <c r="C319" s="4" t="s">
        <v>379</v>
      </c>
      <c r="D319" s="4" t="s">
        <v>359</v>
      </c>
      <c r="E319" s="4" t="s">
        <v>1543</v>
      </c>
      <c r="F319" s="4" t="s">
        <v>720</v>
      </c>
      <c r="G319" s="4" t="n">
        <v>20</v>
      </c>
      <c r="H319" s="4" t="s">
        <v>359</v>
      </c>
      <c r="I319" s="22" t="n">
        <v>0</v>
      </c>
      <c r="J319" s="4" t="n">
        <v>471</v>
      </c>
      <c r="K319" s="4" t="n">
        <v>8</v>
      </c>
      <c r="L319" s="23" t="n">
        <f aca="false">IF(J319&gt;=5,K319/J319,"too few builds")</f>
        <v>0.0169851380042463</v>
      </c>
      <c r="M319" s="22" t="n">
        <v>0</v>
      </c>
      <c r="N319" s="22" t="n">
        <v>0</v>
      </c>
      <c r="O319" s="4"/>
      <c r="P319" s="4"/>
      <c r="Q319" s="4"/>
      <c r="R319" s="4" t="s">
        <v>1544</v>
      </c>
    </row>
    <row r="320" customFormat="false" ht="15" hidden="false" customHeight="false" outlineLevel="0" collapsed="false">
      <c r="A320" s="4" t="s">
        <v>1545</v>
      </c>
      <c r="B320" s="4" t="s">
        <v>403</v>
      </c>
      <c r="C320" s="4" t="s">
        <v>379</v>
      </c>
      <c r="D320" s="4" t="s">
        <v>359</v>
      </c>
      <c r="E320" s="4" t="s">
        <v>540</v>
      </c>
      <c r="F320" s="4" t="s">
        <v>540</v>
      </c>
      <c r="G320" s="4" t="n">
        <v>45</v>
      </c>
      <c r="H320" s="4" t="s">
        <v>359</v>
      </c>
      <c r="I320" s="22" t="n">
        <v>0.11</v>
      </c>
      <c r="J320" s="4" t="n">
        <v>71</v>
      </c>
      <c r="K320" s="4" t="n">
        <v>53</v>
      </c>
      <c r="L320" s="23" t="n">
        <f aca="false">IF(J320&gt;=5,K320/J320,"too few builds")</f>
        <v>0.746478873239437</v>
      </c>
      <c r="M320" s="22" t="n">
        <v>0</v>
      </c>
      <c r="N320" s="22" t="n">
        <v>0</v>
      </c>
      <c r="O320" s="4"/>
      <c r="P320" s="4"/>
      <c r="Q320" s="4"/>
      <c r="R320" s="4"/>
    </row>
    <row r="321" customFormat="false" ht="15" hidden="false" customHeight="false" outlineLevel="0" collapsed="false">
      <c r="A321" s="4" t="s">
        <v>1546</v>
      </c>
      <c r="B321" s="4" t="s">
        <v>432</v>
      </c>
      <c r="C321" s="4" t="s">
        <v>379</v>
      </c>
      <c r="D321" s="4" t="s">
        <v>369</v>
      </c>
      <c r="E321" s="4" t="s">
        <v>1547</v>
      </c>
      <c r="F321" s="4" t="s">
        <v>474</v>
      </c>
      <c r="G321" s="4" t="n">
        <v>75</v>
      </c>
      <c r="H321" s="4" t="s">
        <v>359</v>
      </c>
      <c r="I321" s="22" t="n">
        <v>0.08</v>
      </c>
      <c r="J321" s="4" t="n">
        <v>66</v>
      </c>
      <c r="K321" s="4" t="n">
        <v>38</v>
      </c>
      <c r="L321" s="23" t="n">
        <f aca="false">IF(J321&gt;=5,K321/J321,"too few builds")</f>
        <v>0.575757575757576</v>
      </c>
      <c r="M321" s="22" t="n">
        <v>0</v>
      </c>
      <c r="N321" s="22" t="n">
        <v>0</v>
      </c>
      <c r="O321" s="4"/>
      <c r="P321" s="4"/>
      <c r="Q321" s="4"/>
      <c r="R321" s="4" t="s">
        <v>1548</v>
      </c>
    </row>
    <row r="322" customFormat="false" ht="15" hidden="false" customHeight="false" outlineLevel="0" collapsed="false">
      <c r="A322" s="4" t="s">
        <v>403</v>
      </c>
      <c r="B322" s="4" t="s">
        <v>403</v>
      </c>
      <c r="C322" s="4" t="s">
        <v>379</v>
      </c>
      <c r="D322" s="4" t="s">
        <v>369</v>
      </c>
      <c r="E322" s="4" t="s">
        <v>1549</v>
      </c>
      <c r="F322" s="4" t="s">
        <v>1549</v>
      </c>
      <c r="G322" s="4" t="n">
        <v>1</v>
      </c>
      <c r="H322" s="4" t="s">
        <v>359</v>
      </c>
      <c r="I322" s="22" t="n">
        <v>0.14</v>
      </c>
      <c r="J322" s="4" t="n">
        <v>83</v>
      </c>
      <c r="K322" s="4" t="n">
        <v>70</v>
      </c>
      <c r="L322" s="23" t="n">
        <f aca="false">IF(J322&gt;=5,K322/J322,"too few builds")</f>
        <v>0.843373493975904</v>
      </c>
      <c r="M322" s="22" t="n">
        <v>0</v>
      </c>
      <c r="N322" s="22" t="n">
        <v>0</v>
      </c>
      <c r="O322" s="4"/>
      <c r="P322" s="4"/>
      <c r="Q322" s="4"/>
      <c r="R322" s="4" t="s">
        <v>1550</v>
      </c>
    </row>
    <row r="323" customFormat="false" ht="15" hidden="false" customHeight="false" outlineLevel="0" collapsed="false">
      <c r="A323" s="4" t="s">
        <v>1551</v>
      </c>
      <c r="B323" s="4" t="s">
        <v>374</v>
      </c>
      <c r="C323" s="4" t="s">
        <v>332</v>
      </c>
      <c r="D323" s="4" t="s">
        <v>369</v>
      </c>
      <c r="E323" s="4" t="s">
        <v>375</v>
      </c>
      <c r="F323" s="4" t="s">
        <v>371</v>
      </c>
      <c r="G323" s="4" t="n">
        <v>0</v>
      </c>
      <c r="H323" s="4" t="s">
        <v>369</v>
      </c>
      <c r="I323" s="22" t="n">
        <v>0</v>
      </c>
      <c r="J323" s="4" t="n">
        <v>51</v>
      </c>
      <c r="K323" s="4" t="n">
        <v>20</v>
      </c>
      <c r="L323" s="23" t="n">
        <f aca="false">IF(J323&gt;=5,K323/J323,"too few builds")</f>
        <v>0.392156862745098</v>
      </c>
      <c r="M323" s="22" t="n">
        <v>0</v>
      </c>
      <c r="N323" s="22" t="n">
        <v>0</v>
      </c>
      <c r="O323" s="4"/>
      <c r="P323" s="4"/>
      <c r="Q323" s="4"/>
      <c r="R323" s="4" t="s">
        <v>1552</v>
      </c>
    </row>
    <row r="324" customFormat="false" ht="15" hidden="false" customHeight="false" outlineLevel="0" collapsed="false">
      <c r="A324" s="4" t="s">
        <v>1553</v>
      </c>
      <c r="B324" s="4" t="s">
        <v>1554</v>
      </c>
      <c r="C324" s="4" t="s">
        <v>379</v>
      </c>
      <c r="D324" s="4" t="s">
        <v>359</v>
      </c>
      <c r="E324" s="4" t="s">
        <v>468</v>
      </c>
      <c r="F324" s="4" t="s">
        <v>468</v>
      </c>
      <c r="G324" s="4" t="n">
        <v>35</v>
      </c>
      <c r="H324" s="4" t="s">
        <v>359</v>
      </c>
      <c r="I324" s="22" t="n">
        <v>0</v>
      </c>
      <c r="J324" s="4" t="n">
        <v>85</v>
      </c>
      <c r="K324" s="4" t="n">
        <v>8</v>
      </c>
      <c r="L324" s="23" t="n">
        <f aca="false">IF(J324&gt;=5,K324/J324,"too few builds")</f>
        <v>0.0941176470588235</v>
      </c>
      <c r="M324" s="22" t="n">
        <v>0</v>
      </c>
      <c r="N324" s="22" t="n">
        <v>0</v>
      </c>
      <c r="O324" s="4"/>
      <c r="P324" s="4"/>
      <c r="Q324" s="4"/>
      <c r="R324" s="4" t="s">
        <v>1555</v>
      </c>
    </row>
    <row r="325" customFormat="false" ht="15" hidden="false" customHeight="false" outlineLevel="0" collapsed="false">
      <c r="A325" s="4" t="s">
        <v>1556</v>
      </c>
      <c r="B325" s="4" t="s">
        <v>1414</v>
      </c>
      <c r="C325" s="4" t="s">
        <v>379</v>
      </c>
      <c r="D325" s="4" t="s">
        <v>359</v>
      </c>
      <c r="E325" s="4" t="s">
        <v>1557</v>
      </c>
      <c r="F325" s="4" t="s">
        <v>1557</v>
      </c>
      <c r="G325" s="4" t="n">
        <v>80</v>
      </c>
      <c r="H325" s="4" t="s">
        <v>359</v>
      </c>
      <c r="I325" s="22" t="n">
        <v>0.05</v>
      </c>
      <c r="J325" s="4" t="n">
        <v>58</v>
      </c>
      <c r="K325" s="4" t="n">
        <v>27</v>
      </c>
      <c r="L325" s="23" t="n">
        <f aca="false">IF(J325&gt;=5,K325/J325,"too few builds")</f>
        <v>0.46551724137931</v>
      </c>
      <c r="M325" s="22" t="n">
        <v>0</v>
      </c>
      <c r="N325" s="22" t="n">
        <v>0</v>
      </c>
      <c r="O325" s="4"/>
      <c r="P325" s="4"/>
      <c r="Q325" s="4"/>
      <c r="R325" s="4" t="s">
        <v>1558</v>
      </c>
    </row>
    <row r="326" customFormat="false" ht="15" hidden="false" customHeight="false" outlineLevel="0" collapsed="false">
      <c r="A326" s="4" t="s">
        <v>1559</v>
      </c>
      <c r="B326" s="4" t="s">
        <v>1560</v>
      </c>
      <c r="C326" s="4" t="s">
        <v>379</v>
      </c>
      <c r="D326" s="4" t="s">
        <v>359</v>
      </c>
      <c r="E326" s="4" t="s">
        <v>1561</v>
      </c>
      <c r="F326" s="4" t="s">
        <v>1562</v>
      </c>
      <c r="G326" s="4" t="n">
        <v>75</v>
      </c>
      <c r="H326" s="4" t="s">
        <v>359</v>
      </c>
      <c r="I326" s="22" t="n">
        <v>0.06</v>
      </c>
      <c r="J326" s="4" t="n">
        <v>48</v>
      </c>
      <c r="K326" s="4" t="n">
        <v>31</v>
      </c>
      <c r="L326" s="23" t="n">
        <f aca="false">IF(J326&gt;=5,K326/J326,"too few builds")</f>
        <v>0.645833333333333</v>
      </c>
      <c r="M326" s="22" t="n">
        <v>0</v>
      </c>
      <c r="N326" s="22" t="n">
        <v>0</v>
      </c>
      <c r="O326" s="4"/>
      <c r="P326" s="4"/>
      <c r="Q326" s="4"/>
      <c r="R326" s="4" t="s">
        <v>1563</v>
      </c>
    </row>
    <row r="327" customFormat="false" ht="15" hidden="false" customHeight="false" outlineLevel="0" collapsed="false">
      <c r="A327" s="4" t="s">
        <v>1564</v>
      </c>
      <c r="B327" s="4" t="s">
        <v>1267</v>
      </c>
      <c r="C327" s="4" t="s">
        <v>584</v>
      </c>
      <c r="D327" s="4" t="s">
        <v>369</v>
      </c>
      <c r="E327" s="4" t="s">
        <v>1565</v>
      </c>
      <c r="F327" s="4" t="s">
        <v>1269</v>
      </c>
      <c r="G327" s="4" t="n">
        <v>40</v>
      </c>
      <c r="H327" s="4" t="s">
        <v>359</v>
      </c>
      <c r="I327" s="22" t="n">
        <v>0</v>
      </c>
      <c r="J327" s="4" t="n">
        <v>143</v>
      </c>
      <c r="K327" s="4" t="n">
        <v>29</v>
      </c>
      <c r="L327" s="23" t="n">
        <f aca="false">IF(J327&gt;=5,K327/J327,"too few builds")</f>
        <v>0.202797202797203</v>
      </c>
      <c r="M327" s="22" t="n">
        <v>0</v>
      </c>
      <c r="N327" s="22" t="n">
        <v>0</v>
      </c>
      <c r="O327" s="4"/>
      <c r="P327" s="4"/>
      <c r="Q327" s="4"/>
      <c r="R327" s="4" t="s">
        <v>1566</v>
      </c>
    </row>
    <row r="328" customFormat="false" ht="15" hidden="false" customHeight="false" outlineLevel="0" collapsed="false">
      <c r="A328" s="4" t="s">
        <v>1567</v>
      </c>
      <c r="B328" s="4" t="s">
        <v>1267</v>
      </c>
      <c r="C328" s="4" t="s">
        <v>379</v>
      </c>
      <c r="D328" s="4" t="s">
        <v>359</v>
      </c>
      <c r="E328" s="4" t="s">
        <v>1568</v>
      </c>
      <c r="F328" s="4" t="s">
        <v>1269</v>
      </c>
      <c r="G328" s="4" t="n">
        <v>40</v>
      </c>
      <c r="H328" s="4" t="s">
        <v>359</v>
      </c>
      <c r="I328" s="22" t="n">
        <v>0</v>
      </c>
      <c r="J328" s="4" t="n">
        <v>135</v>
      </c>
      <c r="K328" s="4" t="n">
        <v>10</v>
      </c>
      <c r="L328" s="23" t="n">
        <f aca="false">IF(J328&gt;=5,K328/J328,"too few builds")</f>
        <v>0.0740740740740741</v>
      </c>
      <c r="M328" s="22" t="n">
        <v>0</v>
      </c>
      <c r="N328" s="22" t="n">
        <v>0</v>
      </c>
      <c r="O328" s="4"/>
      <c r="P328" s="4"/>
      <c r="Q328" s="4"/>
      <c r="R328" s="4" t="s">
        <v>1569</v>
      </c>
    </row>
    <row r="329" customFormat="false" ht="15" hidden="false" customHeight="false" outlineLevel="0" collapsed="false">
      <c r="A329" s="4" t="s">
        <v>1570</v>
      </c>
      <c r="B329" s="4" t="s">
        <v>1267</v>
      </c>
      <c r="C329" s="4" t="s">
        <v>379</v>
      </c>
      <c r="D329" s="4" t="s">
        <v>359</v>
      </c>
      <c r="E329" s="4" t="s">
        <v>1568</v>
      </c>
      <c r="F329" s="4" t="s">
        <v>1269</v>
      </c>
      <c r="G329" s="4" t="n">
        <v>40</v>
      </c>
      <c r="H329" s="4" t="s">
        <v>359</v>
      </c>
      <c r="I329" s="22" t="n">
        <v>0</v>
      </c>
      <c r="J329" s="4" t="n">
        <v>140</v>
      </c>
      <c r="K329" s="4" t="n">
        <v>18</v>
      </c>
      <c r="L329" s="23" t="n">
        <f aca="false">IF(J329&gt;=5,K329/J329,"too few builds")</f>
        <v>0.128571428571429</v>
      </c>
      <c r="M329" s="22" t="n">
        <v>0</v>
      </c>
      <c r="N329" s="22" t="n">
        <v>0</v>
      </c>
      <c r="O329" s="4"/>
      <c r="P329" s="4"/>
      <c r="Q329" s="4"/>
      <c r="R329" s="4" t="s">
        <v>1571</v>
      </c>
    </row>
    <row r="330" customFormat="false" ht="15" hidden="false" customHeight="false" outlineLevel="0" collapsed="false">
      <c r="A330" s="4" t="s">
        <v>1572</v>
      </c>
      <c r="B330" s="4" t="s">
        <v>579</v>
      </c>
      <c r="C330" s="4" t="s">
        <v>379</v>
      </c>
      <c r="D330" s="4" t="s">
        <v>359</v>
      </c>
      <c r="E330" s="4" t="s">
        <v>1573</v>
      </c>
      <c r="F330" s="4" t="s">
        <v>1573</v>
      </c>
      <c r="G330" s="4" t="n">
        <v>55</v>
      </c>
      <c r="H330" s="4" t="s">
        <v>359</v>
      </c>
      <c r="I330" s="22" t="n">
        <v>0.08</v>
      </c>
      <c r="J330" s="4" t="n">
        <v>87</v>
      </c>
      <c r="K330" s="4" t="n">
        <v>41</v>
      </c>
      <c r="L330" s="23" t="n">
        <f aca="false">IF(J330&gt;=5,K330/J330,"too few builds")</f>
        <v>0.471264367816092</v>
      </c>
      <c r="M330" s="22" t="n">
        <v>0</v>
      </c>
      <c r="N330" s="22" t="n">
        <v>0</v>
      </c>
      <c r="O330" s="4"/>
      <c r="P330" s="4"/>
      <c r="Q330" s="4"/>
      <c r="R330" s="4" t="s">
        <v>1574</v>
      </c>
    </row>
    <row r="331" customFormat="false" ht="15" hidden="false" customHeight="false" outlineLevel="0" collapsed="false">
      <c r="A331" s="4" t="s">
        <v>1575</v>
      </c>
      <c r="B331" s="4" t="s">
        <v>1576</v>
      </c>
      <c r="C331" s="4" t="s">
        <v>379</v>
      </c>
      <c r="D331" s="4" t="s">
        <v>359</v>
      </c>
      <c r="E331" s="4" t="s">
        <v>1207</v>
      </c>
      <c r="F331" s="4" t="s">
        <v>1207</v>
      </c>
      <c r="G331" s="4" t="n">
        <v>20</v>
      </c>
      <c r="H331" s="4" t="s">
        <v>359</v>
      </c>
      <c r="I331" s="22" t="n">
        <v>0.47</v>
      </c>
      <c r="J331" s="4" t="n">
        <v>416</v>
      </c>
      <c r="K331" s="4" t="n">
        <v>222</v>
      </c>
      <c r="L331" s="23" t="n">
        <f aca="false">IF(J331&gt;=5,K331/J331,"too few builds")</f>
        <v>0.533653846153846</v>
      </c>
      <c r="M331" s="22" t="n">
        <v>0</v>
      </c>
      <c r="N331" s="22" t="n">
        <v>0</v>
      </c>
      <c r="O331" s="4"/>
      <c r="P331" s="4"/>
      <c r="Q331" s="4"/>
      <c r="R331" s="4" t="s">
        <v>1577</v>
      </c>
    </row>
    <row r="332" customFormat="false" ht="15" hidden="false" customHeight="false" outlineLevel="0" collapsed="false">
      <c r="A332" s="4" t="s">
        <v>1578</v>
      </c>
      <c r="B332" s="4" t="s">
        <v>1579</v>
      </c>
      <c r="C332" s="4" t="s">
        <v>379</v>
      </c>
      <c r="D332" s="4" t="s">
        <v>359</v>
      </c>
      <c r="E332" s="4" t="s">
        <v>1580</v>
      </c>
      <c r="F332" s="4" t="s">
        <v>1581</v>
      </c>
      <c r="G332" s="4" t="n">
        <v>90</v>
      </c>
      <c r="H332" s="4" t="s">
        <v>359</v>
      </c>
      <c r="I332" s="22" t="n">
        <v>0</v>
      </c>
      <c r="J332" s="4" t="n">
        <v>63</v>
      </c>
      <c r="K332" s="4" t="n">
        <v>4</v>
      </c>
      <c r="L332" s="23" t="n">
        <f aca="false">IF(J332&gt;=5,K332/J332,"too few builds")</f>
        <v>0.0634920634920635</v>
      </c>
      <c r="M332" s="22" t="n">
        <v>0</v>
      </c>
      <c r="N332" s="22" t="n">
        <v>0</v>
      </c>
      <c r="O332" s="4"/>
      <c r="P332" s="4" t="s">
        <v>1582</v>
      </c>
      <c r="Q332" s="4"/>
      <c r="R332" s="4" t="s">
        <v>1583</v>
      </c>
    </row>
    <row r="333" customFormat="false" ht="15" hidden="false" customHeight="false" outlineLevel="0" collapsed="false">
      <c r="A333" s="4" t="s">
        <v>1584</v>
      </c>
      <c r="B333" s="4" t="s">
        <v>584</v>
      </c>
      <c r="C333" s="4" t="s">
        <v>584</v>
      </c>
      <c r="D333" s="4" t="s">
        <v>369</v>
      </c>
      <c r="E333" s="4" t="s">
        <v>585</v>
      </c>
      <c r="F333" s="4" t="s">
        <v>371</v>
      </c>
      <c r="G333" s="4" t="n">
        <v>0</v>
      </c>
      <c r="H333" s="4" t="s">
        <v>369</v>
      </c>
      <c r="I333" s="22" t="n">
        <v>0</v>
      </c>
      <c r="J333" s="4" t="n">
        <v>500</v>
      </c>
      <c r="K333" s="4" t="n">
        <v>26</v>
      </c>
      <c r="L333" s="23" t="n">
        <f aca="false">IF(J333&gt;=5,K333/J333,"too few builds")</f>
        <v>0.052</v>
      </c>
      <c r="M333" s="22" t="n">
        <v>0</v>
      </c>
      <c r="N333" s="22" t="n">
        <v>0</v>
      </c>
      <c r="O333" s="4"/>
      <c r="P333" s="4"/>
      <c r="Q333" s="4"/>
      <c r="R333" s="4" t="s">
        <v>1585</v>
      </c>
    </row>
    <row r="334" customFormat="false" ht="15" hidden="false" customHeight="false" outlineLevel="0" collapsed="false">
      <c r="A334" s="4" t="s">
        <v>1586</v>
      </c>
      <c r="B334" s="4" t="s">
        <v>974</v>
      </c>
      <c r="C334" s="4" t="s">
        <v>419</v>
      </c>
      <c r="D334" s="4" t="s">
        <v>359</v>
      </c>
      <c r="E334" s="4" t="s">
        <v>976</v>
      </c>
      <c r="F334" s="4" t="s">
        <v>976</v>
      </c>
      <c r="G334" s="4" t="n">
        <v>30</v>
      </c>
      <c r="H334" s="4" t="s">
        <v>359</v>
      </c>
      <c r="I334" s="22" t="n">
        <v>0.11</v>
      </c>
      <c r="J334" s="4" t="n">
        <v>140</v>
      </c>
      <c r="K334" s="4" t="n">
        <v>57</v>
      </c>
      <c r="L334" s="23" t="n">
        <f aca="false">IF(J334&gt;=5,K334/J334,"too few builds")</f>
        <v>0.407142857142857</v>
      </c>
      <c r="M334" s="22" t="n">
        <v>0</v>
      </c>
      <c r="N334" s="22" t="n">
        <v>0</v>
      </c>
      <c r="O334" s="4"/>
      <c r="P334" s="4"/>
      <c r="Q334" s="4"/>
      <c r="R334" s="4" t="s">
        <v>1587</v>
      </c>
    </row>
    <row r="335" customFormat="false" ht="15" hidden="false" customHeight="false" outlineLevel="0" collapsed="false">
      <c r="A335" s="4" t="s">
        <v>1588</v>
      </c>
      <c r="B335" s="4" t="s">
        <v>1589</v>
      </c>
      <c r="C335" s="4" t="s">
        <v>379</v>
      </c>
      <c r="D335" s="4" t="s">
        <v>359</v>
      </c>
      <c r="E335" s="4" t="s">
        <v>1590</v>
      </c>
      <c r="F335" s="4" t="s">
        <v>1590</v>
      </c>
      <c r="G335" s="4" t="n">
        <v>40</v>
      </c>
      <c r="H335" s="4" t="s">
        <v>359</v>
      </c>
      <c r="I335" s="22" t="n">
        <v>0.23</v>
      </c>
      <c r="J335" s="4" t="n">
        <v>377</v>
      </c>
      <c r="K335" s="4" t="n">
        <v>117</v>
      </c>
      <c r="L335" s="23" t="n">
        <f aca="false">IF(J335&gt;=5,K335/J335,"too few builds")</f>
        <v>0.310344827586207</v>
      </c>
      <c r="M335" s="22" t="n">
        <v>0</v>
      </c>
      <c r="N335" s="22" t="n">
        <v>0</v>
      </c>
      <c r="O335" s="4"/>
      <c r="P335" s="4" t="s">
        <v>1591</v>
      </c>
      <c r="Q335" s="4"/>
      <c r="R335" s="4" t="s">
        <v>1592</v>
      </c>
    </row>
    <row r="336" customFormat="false" ht="15" hidden="false" customHeight="false" outlineLevel="0" collapsed="false">
      <c r="A336" s="4" t="s">
        <v>1593</v>
      </c>
      <c r="B336" s="4" t="s">
        <v>934</v>
      </c>
      <c r="C336" s="4" t="s">
        <v>379</v>
      </c>
      <c r="D336" s="4" t="s">
        <v>359</v>
      </c>
      <c r="E336" s="4" t="s">
        <v>1594</v>
      </c>
      <c r="F336" s="4" t="s">
        <v>1594</v>
      </c>
      <c r="G336" s="4" t="n">
        <v>80</v>
      </c>
      <c r="H336" s="4" t="s">
        <v>359</v>
      </c>
      <c r="I336" s="22" t="n">
        <v>0.03</v>
      </c>
      <c r="J336" s="4" t="n">
        <v>104</v>
      </c>
      <c r="K336" s="4" t="n">
        <v>19</v>
      </c>
      <c r="L336" s="23" t="n">
        <f aca="false">IF(J336&gt;=5,K336/J336,"too few builds")</f>
        <v>0.182692307692308</v>
      </c>
      <c r="M336" s="22" t="n">
        <v>0</v>
      </c>
      <c r="N336" s="22" t="n">
        <v>0</v>
      </c>
      <c r="O336" s="4"/>
      <c r="P336" s="4"/>
      <c r="Q336" s="4"/>
      <c r="R336" s="4" t="s">
        <v>1595</v>
      </c>
    </row>
    <row r="337" customFormat="false" ht="15" hidden="false" customHeight="false" outlineLevel="0" collapsed="false">
      <c r="A337" s="4" t="s">
        <v>1596</v>
      </c>
      <c r="B337" s="4" t="s">
        <v>403</v>
      </c>
      <c r="C337" s="4" t="s">
        <v>379</v>
      </c>
      <c r="D337" s="4" t="s">
        <v>359</v>
      </c>
      <c r="E337" s="4" t="s">
        <v>1597</v>
      </c>
      <c r="F337" s="4" t="s">
        <v>540</v>
      </c>
      <c r="G337" s="4" t="n">
        <v>45</v>
      </c>
      <c r="H337" s="4" t="s">
        <v>359</v>
      </c>
      <c r="I337" s="22" t="n">
        <v>0.03</v>
      </c>
      <c r="J337" s="4" t="n">
        <v>71</v>
      </c>
      <c r="K337" s="4" t="n">
        <v>21</v>
      </c>
      <c r="L337" s="23" t="n">
        <f aca="false">IF(J337&gt;=5,K337/J337,"too few builds")</f>
        <v>0.295774647887324</v>
      </c>
      <c r="M337" s="22" t="n">
        <v>0</v>
      </c>
      <c r="N337" s="22" t="n">
        <v>0</v>
      </c>
      <c r="O337" s="4"/>
      <c r="P337" s="4"/>
      <c r="Q337" s="4"/>
      <c r="R337" s="4" t="s">
        <v>1598</v>
      </c>
    </row>
    <row r="338" customFormat="false" ht="15" hidden="false" customHeight="false" outlineLevel="0" collapsed="false">
      <c r="A338" s="4" t="s">
        <v>1599</v>
      </c>
      <c r="B338" s="4" t="s">
        <v>602</v>
      </c>
      <c r="C338" s="4" t="s">
        <v>379</v>
      </c>
      <c r="D338" s="4" t="s">
        <v>359</v>
      </c>
      <c r="E338" s="4" t="s">
        <v>603</v>
      </c>
      <c r="F338" s="4" t="s">
        <v>603</v>
      </c>
      <c r="G338" s="4" t="n">
        <v>30</v>
      </c>
      <c r="H338" s="4" t="s">
        <v>359</v>
      </c>
      <c r="I338" s="22" t="n">
        <v>0.03</v>
      </c>
      <c r="J338" s="4" t="n">
        <v>177</v>
      </c>
      <c r="K338" s="4" t="n">
        <v>21</v>
      </c>
      <c r="L338" s="23" t="n">
        <f aca="false">IF(J338&gt;=5,K338/J338,"too few builds")</f>
        <v>0.11864406779661</v>
      </c>
      <c r="M338" s="22" t="n">
        <v>0</v>
      </c>
      <c r="N338" s="22" t="n">
        <v>0</v>
      </c>
      <c r="O338" s="4"/>
      <c r="P338" s="4"/>
      <c r="Q338" s="4"/>
      <c r="R338" s="4" t="s">
        <v>1600</v>
      </c>
    </row>
    <row r="339" customFormat="false" ht="15" hidden="false" customHeight="false" outlineLevel="0" collapsed="false">
      <c r="A339" s="4" t="s">
        <v>1601</v>
      </c>
      <c r="B339" s="4" t="s">
        <v>1228</v>
      </c>
      <c r="C339" s="4" t="s">
        <v>584</v>
      </c>
      <c r="D339" s="4" t="s">
        <v>369</v>
      </c>
      <c r="E339" s="4" t="s">
        <v>585</v>
      </c>
      <c r="F339" s="4" t="s">
        <v>371</v>
      </c>
      <c r="G339" s="4" t="n">
        <v>0</v>
      </c>
      <c r="H339" s="4" t="s">
        <v>369</v>
      </c>
      <c r="I339" s="22" t="n">
        <v>0</v>
      </c>
      <c r="J339" s="4" t="n">
        <v>500</v>
      </c>
      <c r="K339" s="4" t="n">
        <v>5</v>
      </c>
      <c r="L339" s="23" t="n">
        <f aca="false">IF(J339&gt;=5,K339/J339,"too few builds")</f>
        <v>0.01</v>
      </c>
      <c r="M339" s="22" t="n">
        <v>0</v>
      </c>
      <c r="N339" s="22" t="n">
        <v>0</v>
      </c>
      <c r="O339" s="4"/>
      <c r="P339" s="4"/>
      <c r="Q339" s="4"/>
      <c r="R339" s="4" t="s">
        <v>1602</v>
      </c>
    </row>
    <row r="340" customFormat="false" ht="15" hidden="false" customHeight="false" outlineLevel="0" collapsed="false">
      <c r="A340" s="4" t="s">
        <v>1603</v>
      </c>
      <c r="B340" s="4" t="s">
        <v>827</v>
      </c>
      <c r="C340" s="4" t="s">
        <v>379</v>
      </c>
      <c r="D340" s="4" t="s">
        <v>359</v>
      </c>
      <c r="E340" s="4" t="s">
        <v>1604</v>
      </c>
      <c r="F340" s="4" t="s">
        <v>1604</v>
      </c>
      <c r="G340" s="4" t="n">
        <v>35</v>
      </c>
      <c r="H340" s="4" t="s">
        <v>359</v>
      </c>
      <c r="I340" s="22" t="n">
        <v>0.54</v>
      </c>
      <c r="J340" s="4" t="n">
        <v>319</v>
      </c>
      <c r="K340" s="4" t="n">
        <v>254</v>
      </c>
      <c r="L340" s="23" t="n">
        <f aca="false">IF(J340&gt;=5,K340/J340,"too few builds")</f>
        <v>0.796238244514107</v>
      </c>
      <c r="M340" s="22" t="n">
        <v>0.05</v>
      </c>
      <c r="N340" s="22" t="n">
        <v>0</v>
      </c>
      <c r="O340" s="4"/>
      <c r="P340" s="4"/>
      <c r="Q340" s="4"/>
      <c r="R340" s="4" t="s">
        <v>1605</v>
      </c>
    </row>
    <row r="341" customFormat="false" ht="15" hidden="false" customHeight="false" outlineLevel="0" collapsed="false">
      <c r="A341" s="4" t="s">
        <v>1606</v>
      </c>
      <c r="B341" s="4" t="s">
        <v>778</v>
      </c>
      <c r="C341" s="4" t="s">
        <v>379</v>
      </c>
      <c r="D341" s="4" t="s">
        <v>359</v>
      </c>
      <c r="E341" s="4" t="s">
        <v>779</v>
      </c>
      <c r="F341" s="4" t="s">
        <v>780</v>
      </c>
      <c r="G341" s="4" t="n">
        <v>55</v>
      </c>
      <c r="H341" s="4" t="s">
        <v>359</v>
      </c>
      <c r="I341" s="22" t="n">
        <v>0.29</v>
      </c>
      <c r="J341" s="4" t="n">
        <v>167</v>
      </c>
      <c r="K341" s="4" t="n">
        <v>157</v>
      </c>
      <c r="L341" s="23" t="n">
        <f aca="false">IF(J341&gt;=5,K341/J341,"too few builds")</f>
        <v>0.940119760479042</v>
      </c>
      <c r="M341" s="22" t="n">
        <v>0</v>
      </c>
      <c r="N341" s="22" t="n">
        <v>0</v>
      </c>
      <c r="O341" s="4"/>
      <c r="P341" s="4"/>
      <c r="Q341" s="4"/>
      <c r="R341" s="4" t="s">
        <v>1607</v>
      </c>
    </row>
    <row r="342" customFormat="false" ht="15" hidden="false" customHeight="false" outlineLevel="0" collapsed="false">
      <c r="A342" s="4" t="s">
        <v>1608</v>
      </c>
      <c r="B342" s="4" t="s">
        <v>408</v>
      </c>
      <c r="C342" s="4" t="s">
        <v>379</v>
      </c>
      <c r="D342" s="4" t="s">
        <v>359</v>
      </c>
      <c r="E342" s="4" t="s">
        <v>1211</v>
      </c>
      <c r="F342" s="4" t="s">
        <v>1211</v>
      </c>
      <c r="G342" s="4" t="n">
        <v>50</v>
      </c>
      <c r="H342" s="4" t="s">
        <v>359</v>
      </c>
      <c r="I342" s="22" t="n">
        <v>0.07</v>
      </c>
      <c r="J342" s="4" t="n">
        <v>59</v>
      </c>
      <c r="K342" s="4" t="n">
        <v>39</v>
      </c>
      <c r="L342" s="23" t="n">
        <f aca="false">IF(J342&gt;=5,K342/J342,"too few builds")</f>
        <v>0.661016949152542</v>
      </c>
      <c r="M342" s="22" t="n">
        <v>0</v>
      </c>
      <c r="N342" s="22" t="n">
        <v>0</v>
      </c>
      <c r="O342" s="4"/>
      <c r="P342" s="4" t="s">
        <v>1609</v>
      </c>
      <c r="Q342" s="4"/>
      <c r="R342" s="4" t="s">
        <v>1610</v>
      </c>
    </row>
    <row r="343" customFormat="false" ht="15" hidden="false" customHeight="false" outlineLevel="0" collapsed="false">
      <c r="A343" s="4" t="s">
        <v>1611</v>
      </c>
      <c r="B343" s="4" t="s">
        <v>1612</v>
      </c>
      <c r="C343" s="4" t="s">
        <v>419</v>
      </c>
      <c r="D343" s="4" t="s">
        <v>359</v>
      </c>
      <c r="E343" s="4" t="s">
        <v>1613</v>
      </c>
      <c r="F343" s="4" t="s">
        <v>1613</v>
      </c>
      <c r="G343" s="4" t="n">
        <v>80</v>
      </c>
      <c r="H343" s="4" t="s">
        <v>359</v>
      </c>
      <c r="I343" s="22" t="n">
        <v>0</v>
      </c>
      <c r="J343" s="4" t="n">
        <v>90</v>
      </c>
      <c r="K343" s="4" t="n">
        <v>2</v>
      </c>
      <c r="L343" s="23" t="n">
        <f aca="false">IF(J343&gt;=5,K343/J343,"too few builds")</f>
        <v>0.0222222222222222</v>
      </c>
      <c r="M343" s="22" t="n">
        <v>0</v>
      </c>
      <c r="N343" s="22" t="n">
        <v>0</v>
      </c>
      <c r="O343" s="4"/>
      <c r="P343" s="4"/>
      <c r="Q343" s="4"/>
      <c r="R343" s="4" t="s">
        <v>1614</v>
      </c>
    </row>
    <row r="344" customFormat="false" ht="15" hidden="false" customHeight="false" outlineLevel="0" collapsed="false">
      <c r="A344" s="4" t="s">
        <v>1615</v>
      </c>
      <c r="B344" s="4" t="s">
        <v>1517</v>
      </c>
      <c r="C344" s="4" t="s">
        <v>584</v>
      </c>
      <c r="D344" s="4" t="s">
        <v>369</v>
      </c>
      <c r="E344" s="4" t="s">
        <v>585</v>
      </c>
      <c r="F344" s="4" t="s">
        <v>371</v>
      </c>
      <c r="G344" s="4" t="n">
        <v>0</v>
      </c>
      <c r="H344" s="4" t="s">
        <v>369</v>
      </c>
      <c r="I344" s="22" t="n">
        <v>0</v>
      </c>
      <c r="J344" s="4" t="n">
        <v>500</v>
      </c>
      <c r="K344" s="4" t="n">
        <v>7</v>
      </c>
      <c r="L344" s="23" t="n">
        <f aca="false">IF(J344&gt;=5,K344/J344,"too few builds")</f>
        <v>0.014</v>
      </c>
      <c r="M344" s="22" t="n">
        <v>0</v>
      </c>
      <c r="N344" s="22" t="n">
        <v>0</v>
      </c>
      <c r="O344" s="4"/>
      <c r="P344" s="4"/>
      <c r="Q344" s="4"/>
      <c r="R344" s="4" t="s">
        <v>1616</v>
      </c>
    </row>
    <row r="345" customFormat="false" ht="15" hidden="false" customHeight="false" outlineLevel="0" collapsed="false">
      <c r="A345" s="4" t="s">
        <v>1617</v>
      </c>
      <c r="B345" s="4" t="s">
        <v>432</v>
      </c>
      <c r="C345" s="4" t="s">
        <v>379</v>
      </c>
      <c r="D345" s="4" t="s">
        <v>369</v>
      </c>
      <c r="E345" s="4" t="s">
        <v>1618</v>
      </c>
      <c r="F345" s="4" t="s">
        <v>1618</v>
      </c>
      <c r="G345" s="4" t="n">
        <v>75</v>
      </c>
      <c r="H345" s="4" t="s">
        <v>359</v>
      </c>
      <c r="I345" s="22" t="n">
        <v>0.06</v>
      </c>
      <c r="J345" s="4" t="n">
        <v>101</v>
      </c>
      <c r="K345" s="4" t="n">
        <v>37</v>
      </c>
      <c r="L345" s="23" t="n">
        <f aca="false">IF(J345&gt;=5,K345/J345,"too few builds")</f>
        <v>0.366336633663366</v>
      </c>
      <c r="M345" s="22" t="n">
        <v>0</v>
      </c>
      <c r="N345" s="22" t="n">
        <v>0</v>
      </c>
      <c r="O345" s="4"/>
      <c r="P345" s="4"/>
      <c r="Q345" s="4"/>
      <c r="R345" s="4" t="s">
        <v>1619</v>
      </c>
    </row>
    <row r="346" customFormat="false" ht="15" hidden="false" customHeight="false" outlineLevel="0" collapsed="false">
      <c r="A346" s="4" t="s">
        <v>1620</v>
      </c>
      <c r="B346" s="4" t="s">
        <v>980</v>
      </c>
      <c r="C346" s="4" t="s">
        <v>379</v>
      </c>
      <c r="D346" s="4" t="s">
        <v>359</v>
      </c>
      <c r="E346" s="4" t="s">
        <v>1621</v>
      </c>
      <c r="F346" s="4" t="s">
        <v>1621</v>
      </c>
      <c r="G346" s="4" t="n">
        <v>55</v>
      </c>
      <c r="H346" s="4" t="s">
        <v>359</v>
      </c>
      <c r="I346" s="22" t="n">
        <v>0.07</v>
      </c>
      <c r="J346" s="4" t="n">
        <v>99</v>
      </c>
      <c r="K346" s="4" t="n">
        <v>32</v>
      </c>
      <c r="L346" s="23" t="n">
        <f aca="false">IF(J346&gt;=5,K346/J346,"too few builds")</f>
        <v>0.323232323232323</v>
      </c>
      <c r="M346" s="22" t="n">
        <v>0</v>
      </c>
      <c r="N346" s="22" t="n">
        <v>0</v>
      </c>
      <c r="O346" s="4"/>
      <c r="P346" s="4"/>
      <c r="Q346" s="4"/>
      <c r="R346" s="4" t="s">
        <v>1622</v>
      </c>
    </row>
    <row r="347" customFormat="false" ht="15" hidden="false" customHeight="false" outlineLevel="0" collapsed="false">
      <c r="A347" s="4" t="s">
        <v>1623</v>
      </c>
      <c r="B347" s="4" t="s">
        <v>1206</v>
      </c>
      <c r="C347" s="4" t="s">
        <v>419</v>
      </c>
      <c r="D347" s="4" t="s">
        <v>359</v>
      </c>
      <c r="E347" s="4" t="s">
        <v>1624</v>
      </c>
      <c r="F347" s="4" t="s">
        <v>1624</v>
      </c>
      <c r="G347" s="4" t="n">
        <v>40</v>
      </c>
      <c r="H347" s="4" t="s">
        <v>359</v>
      </c>
      <c r="I347" s="22" t="n">
        <v>0.31</v>
      </c>
      <c r="J347" s="4" t="n">
        <v>271</v>
      </c>
      <c r="K347" s="4" t="n">
        <v>148</v>
      </c>
      <c r="L347" s="23" t="n">
        <f aca="false">IF(J347&gt;=5,K347/J347,"too few builds")</f>
        <v>0.546125461254613</v>
      </c>
      <c r="M347" s="22" t="n">
        <v>0</v>
      </c>
      <c r="N347" s="22" t="n">
        <v>0</v>
      </c>
      <c r="O347" s="4"/>
      <c r="P347" s="4" t="s">
        <v>1625</v>
      </c>
      <c r="Q347" s="4"/>
      <c r="R347" s="4" t="s">
        <v>1626</v>
      </c>
    </row>
    <row r="348" customFormat="false" ht="15" hidden="false" customHeight="false" outlineLevel="0" collapsed="false">
      <c r="A348" s="4" t="s">
        <v>1627</v>
      </c>
      <c r="B348" s="4" t="s">
        <v>522</v>
      </c>
      <c r="C348" s="4" t="s">
        <v>379</v>
      </c>
      <c r="D348" s="4" t="s">
        <v>359</v>
      </c>
      <c r="E348" s="4" t="s">
        <v>585</v>
      </c>
      <c r="F348" s="4" t="s">
        <v>371</v>
      </c>
      <c r="G348" s="4" t="n">
        <v>0</v>
      </c>
      <c r="H348" s="4" t="s">
        <v>369</v>
      </c>
      <c r="I348" s="22" t="n">
        <v>0.11</v>
      </c>
      <c r="J348" s="4" t="n">
        <v>500</v>
      </c>
      <c r="K348" s="4" t="n">
        <v>46</v>
      </c>
      <c r="L348" s="23" t="n">
        <f aca="false">IF(J348&gt;=5,K348/J348,"too few builds")</f>
        <v>0.092</v>
      </c>
      <c r="M348" s="22" t="n">
        <v>0</v>
      </c>
      <c r="N348" s="22" t="n">
        <v>0</v>
      </c>
      <c r="O348" s="4"/>
      <c r="P348" s="4"/>
      <c r="Q348" s="4"/>
      <c r="R348" s="4" t="s">
        <v>1628</v>
      </c>
    </row>
    <row r="349" customFormat="false" ht="15" hidden="false" customHeight="false" outlineLevel="0" collapsed="false">
      <c r="A349" s="4" t="s">
        <v>1629</v>
      </c>
      <c r="B349" s="4" t="s">
        <v>1560</v>
      </c>
      <c r="C349" s="4" t="s">
        <v>379</v>
      </c>
      <c r="D349" s="4" t="s">
        <v>359</v>
      </c>
      <c r="E349" s="4" t="s">
        <v>1630</v>
      </c>
      <c r="F349" s="4" t="s">
        <v>1631</v>
      </c>
      <c r="G349" s="4" t="n">
        <v>80</v>
      </c>
      <c r="H349" s="4" t="s">
        <v>359</v>
      </c>
      <c r="I349" s="22" t="n">
        <v>0.06</v>
      </c>
      <c r="J349" s="4" t="n">
        <v>37</v>
      </c>
      <c r="K349" s="4" t="n">
        <v>26</v>
      </c>
      <c r="L349" s="23" t="n">
        <f aca="false">IF(J349&gt;=5,K349/J349,"too few builds")</f>
        <v>0.702702702702703</v>
      </c>
      <c r="M349" s="22" t="n">
        <v>0</v>
      </c>
      <c r="N349" s="22" t="n">
        <v>0</v>
      </c>
      <c r="O349" s="4"/>
      <c r="P349" s="4"/>
      <c r="Q349" s="4"/>
      <c r="R349" s="4" t="s">
        <v>1632</v>
      </c>
    </row>
    <row r="350" customFormat="false" ht="15" hidden="false" customHeight="false" outlineLevel="0" collapsed="false">
      <c r="A350" s="4" t="s">
        <v>1633</v>
      </c>
      <c r="B350" s="4" t="s">
        <v>1261</v>
      </c>
      <c r="C350" s="4" t="s">
        <v>332</v>
      </c>
      <c r="D350" s="4" t="s">
        <v>369</v>
      </c>
      <c r="E350" s="4" t="s">
        <v>1262</v>
      </c>
      <c r="F350" s="4" t="s">
        <v>371</v>
      </c>
      <c r="G350" s="4" t="n">
        <v>0</v>
      </c>
      <c r="H350" s="4" t="s">
        <v>369</v>
      </c>
      <c r="I350" s="22" t="n">
        <v>0</v>
      </c>
      <c r="J350" s="4" t="n">
        <v>61</v>
      </c>
      <c r="K350" s="4" t="n">
        <v>24</v>
      </c>
      <c r="L350" s="23" t="n">
        <f aca="false">IF(J350&gt;=5,K350/J350,"too few builds")</f>
        <v>0.39344262295082</v>
      </c>
      <c r="M350" s="22" t="n">
        <v>0</v>
      </c>
      <c r="N350" s="22" t="n">
        <v>0</v>
      </c>
      <c r="O350" s="4"/>
      <c r="P350" s="4"/>
      <c r="Q350" s="4"/>
      <c r="R350" s="4" t="s">
        <v>1634</v>
      </c>
    </row>
    <row r="351" customFormat="false" ht="15" hidden="false" customHeight="false" outlineLevel="0" collapsed="false">
      <c r="A351" s="4" t="s">
        <v>1635</v>
      </c>
      <c r="B351" s="4" t="s">
        <v>1636</v>
      </c>
      <c r="C351" s="4" t="s">
        <v>379</v>
      </c>
      <c r="D351" s="4" t="s">
        <v>359</v>
      </c>
      <c r="E351" s="4" t="s">
        <v>1637</v>
      </c>
      <c r="F351" s="4" t="s">
        <v>1637</v>
      </c>
      <c r="G351" s="4" t="n">
        <v>60</v>
      </c>
      <c r="H351" s="4" t="s">
        <v>359</v>
      </c>
      <c r="I351" s="22" t="n">
        <v>0</v>
      </c>
      <c r="J351" s="4" t="n">
        <v>110</v>
      </c>
      <c r="K351" s="4" t="n">
        <v>11</v>
      </c>
      <c r="L351" s="23" t="n">
        <f aca="false">IF(J351&gt;=5,K351/J351,"too few builds")</f>
        <v>0.1</v>
      </c>
      <c r="M351" s="22" t="n">
        <v>0</v>
      </c>
      <c r="N351" s="22" t="n">
        <v>0</v>
      </c>
      <c r="O351" s="4"/>
      <c r="P351" s="4"/>
      <c r="Q351" s="4"/>
      <c r="R351" s="4" t="s">
        <v>1638</v>
      </c>
    </row>
    <row r="352" customFormat="false" ht="15" hidden="false" customHeight="false" outlineLevel="0" collapsed="false">
      <c r="A352" s="4" t="s">
        <v>1639</v>
      </c>
      <c r="B352" s="4" t="s">
        <v>1397</v>
      </c>
      <c r="C352" s="4" t="s">
        <v>419</v>
      </c>
      <c r="D352" s="4" t="s">
        <v>359</v>
      </c>
      <c r="E352" s="4" t="s">
        <v>1640</v>
      </c>
      <c r="F352" s="4" t="s">
        <v>1641</v>
      </c>
      <c r="G352" s="4" t="n">
        <v>90</v>
      </c>
      <c r="H352" s="4" t="s">
        <v>359</v>
      </c>
      <c r="I352" s="22" t="n">
        <v>0</v>
      </c>
      <c r="J352" s="4" t="n">
        <v>62</v>
      </c>
      <c r="K352" s="4" t="n">
        <v>6</v>
      </c>
      <c r="L352" s="23" t="n">
        <f aca="false">IF(J352&gt;=5,K352/J352,"too few builds")</f>
        <v>0.0967741935483871</v>
      </c>
      <c r="M352" s="22" t="n">
        <v>0</v>
      </c>
      <c r="N352" s="22" t="n">
        <v>0</v>
      </c>
      <c r="O352" s="4"/>
      <c r="P352" s="4"/>
      <c r="Q352" s="4"/>
      <c r="R352" s="4" t="s">
        <v>1642</v>
      </c>
    </row>
    <row r="353" customFormat="false" ht="15" hidden="false" customHeight="false" outlineLevel="0" collapsed="false">
      <c r="A353" s="4" t="s">
        <v>1643</v>
      </c>
      <c r="B353" s="4" t="s">
        <v>1051</v>
      </c>
      <c r="C353" s="4" t="s">
        <v>419</v>
      </c>
      <c r="D353" s="4" t="s">
        <v>359</v>
      </c>
      <c r="E353" s="4" t="s">
        <v>1644</v>
      </c>
      <c r="F353" s="4" t="s">
        <v>1644</v>
      </c>
      <c r="G353" s="4" t="n">
        <v>60</v>
      </c>
      <c r="H353" s="4" t="s">
        <v>359</v>
      </c>
      <c r="I353" s="22" t="n">
        <v>0.13</v>
      </c>
      <c r="J353" s="4" t="n">
        <v>268</v>
      </c>
      <c r="K353" s="4" t="n">
        <v>67</v>
      </c>
      <c r="L353" s="23" t="n">
        <f aca="false">IF(J353&gt;=5,K353/J353,"too few builds")</f>
        <v>0.25</v>
      </c>
      <c r="M353" s="22" t="n">
        <v>0.15</v>
      </c>
      <c r="N353" s="22" t="n">
        <v>0</v>
      </c>
      <c r="O353" s="4"/>
      <c r="P353" s="4" t="s">
        <v>1645</v>
      </c>
      <c r="Q353" s="4"/>
      <c r="R353" s="4" t="s">
        <v>1646</v>
      </c>
    </row>
    <row r="354" customFormat="false" ht="15" hidden="false" customHeight="false" outlineLevel="0" collapsed="false">
      <c r="A354" s="4" t="s">
        <v>1647</v>
      </c>
      <c r="B354" s="4" t="s">
        <v>980</v>
      </c>
      <c r="C354" s="4" t="s">
        <v>379</v>
      </c>
      <c r="D354" s="4" t="s">
        <v>359</v>
      </c>
      <c r="E354" s="4" t="s">
        <v>1207</v>
      </c>
      <c r="F354" s="4" t="s">
        <v>1207</v>
      </c>
      <c r="G354" s="4" t="n">
        <v>20</v>
      </c>
      <c r="H354" s="4" t="s">
        <v>359</v>
      </c>
      <c r="I354" s="22" t="n">
        <v>0.1</v>
      </c>
      <c r="J354" s="4" t="n">
        <v>416</v>
      </c>
      <c r="K354" s="4" t="n">
        <v>50</v>
      </c>
      <c r="L354" s="23" t="n">
        <f aca="false">IF(J354&gt;=5,K354/J354,"too few builds")</f>
        <v>0.120192307692308</v>
      </c>
      <c r="M354" s="22" t="n">
        <v>0</v>
      </c>
      <c r="N354" s="22" t="n">
        <v>0</v>
      </c>
      <c r="O354" s="4"/>
      <c r="P354" s="4" t="s">
        <v>1648</v>
      </c>
      <c r="Q354" s="4"/>
      <c r="R354" s="4" t="s">
        <v>1649</v>
      </c>
    </row>
    <row r="355" customFormat="false" ht="15" hidden="false" customHeight="false" outlineLevel="0" collapsed="false">
      <c r="A355" s="4" t="s">
        <v>1650</v>
      </c>
      <c r="B355" s="4" t="s">
        <v>368</v>
      </c>
      <c r="C355" s="4" t="s">
        <v>332</v>
      </c>
      <c r="D355" s="4" t="s">
        <v>369</v>
      </c>
      <c r="E355" s="4" t="s">
        <v>370</v>
      </c>
      <c r="F355" s="4" t="s">
        <v>371</v>
      </c>
      <c r="G355" s="4" t="n">
        <v>0</v>
      </c>
      <c r="H355" s="4" t="s">
        <v>369</v>
      </c>
      <c r="I355" s="22" t="n">
        <v>0</v>
      </c>
      <c r="J355" s="4" t="n">
        <v>28</v>
      </c>
      <c r="K355" s="4" t="n">
        <v>12</v>
      </c>
      <c r="L355" s="23" t="n">
        <f aca="false">IF(J355&gt;=5,K355/J355,"too few builds")</f>
        <v>0.428571428571429</v>
      </c>
      <c r="M355" s="22" t="n">
        <v>0</v>
      </c>
      <c r="N355" s="22" t="n">
        <v>0</v>
      </c>
      <c r="O355" s="4"/>
      <c r="P355" s="4"/>
      <c r="Q355" s="4"/>
      <c r="R355" s="4" t="s">
        <v>1651</v>
      </c>
    </row>
    <row r="356" customFormat="false" ht="15" hidden="false" customHeight="false" outlineLevel="0" collapsed="false">
      <c r="A356" s="4" t="s">
        <v>1652</v>
      </c>
      <c r="B356" s="4" t="s">
        <v>1403</v>
      </c>
      <c r="C356" s="4" t="s">
        <v>379</v>
      </c>
      <c r="D356" s="4" t="s">
        <v>359</v>
      </c>
      <c r="E356" s="4" t="s">
        <v>1653</v>
      </c>
      <c r="F356" s="4" t="s">
        <v>1654</v>
      </c>
      <c r="G356" s="4" t="n">
        <v>55</v>
      </c>
      <c r="H356" s="4" t="s">
        <v>359</v>
      </c>
      <c r="I356" s="22" t="n">
        <v>0.33</v>
      </c>
      <c r="J356" s="4" t="n">
        <v>266</v>
      </c>
      <c r="K356" s="4" t="n">
        <v>157</v>
      </c>
      <c r="L356" s="23" t="n">
        <f aca="false">IF(J356&gt;=5,K356/J356,"too few builds")</f>
        <v>0.590225563909774</v>
      </c>
      <c r="M356" s="22" t="n">
        <v>0</v>
      </c>
      <c r="N356" s="22" t="n">
        <v>0</v>
      </c>
      <c r="O356" s="4"/>
      <c r="P356" s="4"/>
      <c r="Q356" s="4"/>
      <c r="R356" s="4" t="s">
        <v>1655</v>
      </c>
    </row>
    <row r="357" customFormat="false" ht="15" hidden="false" customHeight="false" outlineLevel="0" collapsed="false">
      <c r="A357" s="4" t="s">
        <v>1656</v>
      </c>
      <c r="B357" s="4" t="s">
        <v>793</v>
      </c>
      <c r="C357" s="4" t="s">
        <v>379</v>
      </c>
      <c r="D357" s="4" t="s">
        <v>359</v>
      </c>
      <c r="E357" s="4" t="s">
        <v>1657</v>
      </c>
      <c r="F357" s="4" t="s">
        <v>900</v>
      </c>
      <c r="G357" s="4" t="n">
        <v>100</v>
      </c>
      <c r="H357" s="4" t="s">
        <v>359</v>
      </c>
      <c r="I357" s="22" t="n">
        <v>0.04</v>
      </c>
      <c r="J357" s="4" t="n">
        <v>21</v>
      </c>
      <c r="K357" s="4" t="n">
        <v>17</v>
      </c>
      <c r="L357" s="23" t="n">
        <f aca="false">IF(J357&gt;=5,K357/J357,"too few builds")</f>
        <v>0.80952380952381</v>
      </c>
      <c r="M357" s="22" t="n">
        <v>0</v>
      </c>
      <c r="N357" s="22" t="n">
        <v>0</v>
      </c>
      <c r="O357" s="4"/>
      <c r="P357" s="4" t="s">
        <v>1658</v>
      </c>
      <c r="Q357" s="4"/>
      <c r="R357" s="4" t="s">
        <v>1659</v>
      </c>
    </row>
    <row r="358" customFormat="false" ht="15" hidden="false" customHeight="false" outlineLevel="0" collapsed="false">
      <c r="A358" s="4" t="s">
        <v>1660</v>
      </c>
      <c r="B358" s="4" t="s">
        <v>634</v>
      </c>
      <c r="C358" s="4" t="s">
        <v>379</v>
      </c>
      <c r="D358" s="4" t="s">
        <v>359</v>
      </c>
      <c r="E358" s="4" t="s">
        <v>1661</v>
      </c>
      <c r="F358" s="4" t="s">
        <v>1661</v>
      </c>
      <c r="G358" s="4" t="n">
        <v>80</v>
      </c>
      <c r="H358" s="4" t="s">
        <v>359</v>
      </c>
      <c r="I358" s="22" t="n">
        <v>0</v>
      </c>
      <c r="J358" s="4" t="n">
        <v>10</v>
      </c>
      <c r="K358" s="4" t="n">
        <v>7</v>
      </c>
      <c r="L358" s="23" t="n">
        <f aca="false">IF(J358&gt;=5,K358/J358,"too few builds")</f>
        <v>0.7</v>
      </c>
      <c r="M358" s="22" t="n">
        <v>0</v>
      </c>
      <c r="N358" s="22" t="n">
        <v>0</v>
      </c>
      <c r="O358" s="4"/>
      <c r="P358" s="4"/>
      <c r="Q358" s="4"/>
      <c r="R358" s="4" t="s">
        <v>1662</v>
      </c>
    </row>
    <row r="359" customFormat="false" ht="15" hidden="false" customHeight="false" outlineLevel="0" collapsed="false">
      <c r="A359" s="4" t="s">
        <v>1663</v>
      </c>
      <c r="B359" s="4" t="s">
        <v>1063</v>
      </c>
      <c r="C359" s="4" t="s">
        <v>379</v>
      </c>
      <c r="D359" s="4" t="s">
        <v>359</v>
      </c>
      <c r="E359" s="4" t="s">
        <v>1664</v>
      </c>
      <c r="F359" s="4" t="s">
        <v>1665</v>
      </c>
      <c r="G359" s="4" t="n">
        <v>60</v>
      </c>
      <c r="H359" s="4" t="s">
        <v>359</v>
      </c>
      <c r="I359" s="22" t="n">
        <v>0.17</v>
      </c>
      <c r="J359" s="4" t="n">
        <v>118</v>
      </c>
      <c r="K359" s="4" t="n">
        <v>96</v>
      </c>
      <c r="L359" s="23" t="n">
        <f aca="false">IF(J359&gt;=5,K359/J359,"too few builds")</f>
        <v>0.813559322033898</v>
      </c>
      <c r="M359" s="22" t="n">
        <v>0.2</v>
      </c>
      <c r="N359" s="22" t="n">
        <v>0</v>
      </c>
      <c r="O359" s="4"/>
      <c r="P359" s="4" t="s">
        <v>1666</v>
      </c>
      <c r="Q359" s="4"/>
      <c r="R359" s="4" t="s">
        <v>1667</v>
      </c>
    </row>
    <row r="360" customFormat="false" ht="15" hidden="false" customHeight="false" outlineLevel="0" collapsed="false">
      <c r="A360" s="4" t="s">
        <v>1668</v>
      </c>
      <c r="B360" s="4" t="s">
        <v>1109</v>
      </c>
      <c r="C360" s="4" t="s">
        <v>379</v>
      </c>
      <c r="D360" s="4" t="s">
        <v>359</v>
      </c>
      <c r="E360" s="4" t="s">
        <v>1429</v>
      </c>
      <c r="F360" s="4" t="s">
        <v>1429</v>
      </c>
      <c r="G360" s="4" t="n">
        <v>20</v>
      </c>
      <c r="H360" s="4" t="s">
        <v>359</v>
      </c>
      <c r="I360" s="22" t="n">
        <v>0.06</v>
      </c>
      <c r="J360" s="4" t="n">
        <v>321</v>
      </c>
      <c r="K360" s="4" t="n">
        <v>27</v>
      </c>
      <c r="L360" s="23" t="n">
        <f aca="false">IF(J360&gt;=5,K360/J360,"too few builds")</f>
        <v>0.0841121495327103</v>
      </c>
      <c r="M360" s="22" t="n">
        <v>0</v>
      </c>
      <c r="N360" s="22" t="n">
        <v>0</v>
      </c>
      <c r="O360" s="4"/>
      <c r="P360" s="4"/>
      <c r="Q360" s="4"/>
      <c r="R360" s="4"/>
    </row>
    <row r="361" customFormat="false" ht="15" hidden="false" customHeight="false" outlineLevel="0" collapsed="false">
      <c r="A361" s="4" t="s">
        <v>1669</v>
      </c>
      <c r="B361" s="4" t="s">
        <v>683</v>
      </c>
      <c r="C361" s="4" t="s">
        <v>379</v>
      </c>
      <c r="D361" s="4" t="s">
        <v>359</v>
      </c>
      <c r="E361" s="4" t="s">
        <v>1670</v>
      </c>
      <c r="F361" s="4" t="s">
        <v>371</v>
      </c>
      <c r="G361" s="4" t="n">
        <v>0</v>
      </c>
      <c r="H361" s="4" t="s">
        <v>369</v>
      </c>
      <c r="I361" s="22" t="n">
        <v>0.07</v>
      </c>
      <c r="J361" s="4" t="n">
        <v>500</v>
      </c>
      <c r="K361" s="4" t="n">
        <v>35</v>
      </c>
      <c r="L361" s="23" t="n">
        <f aca="false">IF(J361&gt;=5,K361/J361,"too few builds")</f>
        <v>0.07</v>
      </c>
      <c r="M361" s="22" t="n">
        <v>0</v>
      </c>
      <c r="N361" s="22" t="n">
        <v>0</v>
      </c>
      <c r="O361" s="4"/>
      <c r="P361" s="4"/>
      <c r="Q361" s="4"/>
      <c r="R361" s="4" t="s">
        <v>1671</v>
      </c>
    </row>
    <row r="362" customFormat="false" ht="15" hidden="false" customHeight="false" outlineLevel="0" collapsed="false">
      <c r="A362" s="4" t="s">
        <v>1672</v>
      </c>
      <c r="B362" s="4" t="s">
        <v>383</v>
      </c>
      <c r="C362" s="4" t="s">
        <v>379</v>
      </c>
      <c r="D362" s="4" t="s">
        <v>369</v>
      </c>
      <c r="E362" s="4" t="s">
        <v>1673</v>
      </c>
      <c r="F362" s="4" t="s">
        <v>1674</v>
      </c>
      <c r="G362" s="4" t="n">
        <v>50</v>
      </c>
      <c r="H362" s="4" t="s">
        <v>359</v>
      </c>
      <c r="I362" s="22" t="n">
        <v>0.14</v>
      </c>
      <c r="J362" s="4" t="n">
        <v>80</v>
      </c>
      <c r="K362" s="4" t="n">
        <v>74</v>
      </c>
      <c r="L362" s="23" t="n">
        <f aca="false">IF(J362&gt;=5,K362/J362,"too few builds")</f>
        <v>0.925</v>
      </c>
      <c r="M362" s="22" t="n">
        <v>0</v>
      </c>
      <c r="N362" s="22" t="n">
        <v>0</v>
      </c>
      <c r="O362" s="4"/>
      <c r="P362" s="4"/>
      <c r="Q362" s="4"/>
      <c r="R362" s="4" t="s">
        <v>1675</v>
      </c>
    </row>
    <row r="363" customFormat="false" ht="15" hidden="false" customHeight="false" outlineLevel="0" collapsed="false">
      <c r="A363" s="4" t="s">
        <v>1676</v>
      </c>
      <c r="B363" s="4" t="s">
        <v>534</v>
      </c>
      <c r="C363" s="4" t="s">
        <v>379</v>
      </c>
      <c r="D363" s="4" t="s">
        <v>359</v>
      </c>
      <c r="E363" s="4" t="s">
        <v>535</v>
      </c>
      <c r="F363" s="4" t="s">
        <v>535</v>
      </c>
      <c r="G363" s="4" t="n">
        <v>40</v>
      </c>
      <c r="H363" s="4" t="s">
        <v>359</v>
      </c>
      <c r="I363" s="22" t="n">
        <v>0</v>
      </c>
      <c r="J363" s="4" t="n">
        <v>218</v>
      </c>
      <c r="K363" s="4" t="n">
        <v>9</v>
      </c>
      <c r="L363" s="23" t="n">
        <f aca="false">IF(J363&gt;=5,K363/J363,"too few builds")</f>
        <v>0.0412844036697248</v>
      </c>
      <c r="M363" s="22" t="n">
        <v>0</v>
      </c>
      <c r="N363" s="22" t="n">
        <v>0</v>
      </c>
      <c r="O363" s="4"/>
      <c r="P363" s="4"/>
      <c r="Q363" s="4"/>
      <c r="R363" s="4" t="s">
        <v>1677</v>
      </c>
    </row>
    <row r="364" customFormat="false" ht="15" hidden="false" customHeight="false" outlineLevel="0" collapsed="false">
      <c r="A364" s="4" t="s">
        <v>1678</v>
      </c>
      <c r="B364" s="4" t="s">
        <v>1679</v>
      </c>
      <c r="C364" s="4" t="s">
        <v>379</v>
      </c>
      <c r="D364" s="4" t="s">
        <v>359</v>
      </c>
      <c r="E364" s="4" t="s">
        <v>1680</v>
      </c>
      <c r="F364" s="4" t="s">
        <v>1680</v>
      </c>
      <c r="G364" s="4" t="n">
        <v>45</v>
      </c>
      <c r="H364" s="4" t="s">
        <v>359</v>
      </c>
      <c r="I364" s="22" t="n">
        <v>0.24</v>
      </c>
      <c r="J364" s="4" t="n">
        <v>149</v>
      </c>
      <c r="K364" s="4" t="n">
        <v>125</v>
      </c>
      <c r="L364" s="23" t="n">
        <f aca="false">IF(J364&gt;=5,K364/J364,"too few builds")</f>
        <v>0.838926174496644</v>
      </c>
      <c r="M364" s="22" t="n">
        <v>0</v>
      </c>
      <c r="N364" s="22" t="n">
        <v>0</v>
      </c>
      <c r="O364" s="4"/>
      <c r="P364" s="4"/>
      <c r="Q364" s="4"/>
      <c r="R364" s="4" t="s">
        <v>1681</v>
      </c>
    </row>
    <row r="365" customFormat="false" ht="15" hidden="false" customHeight="false" outlineLevel="0" collapsed="false">
      <c r="A365" s="4" t="s">
        <v>1682</v>
      </c>
      <c r="B365" s="4" t="s">
        <v>388</v>
      </c>
      <c r="C365" s="4" t="s">
        <v>379</v>
      </c>
      <c r="D365" s="4" t="s">
        <v>369</v>
      </c>
      <c r="E365" s="4" t="s">
        <v>1683</v>
      </c>
      <c r="F365" s="4" t="s">
        <v>1079</v>
      </c>
      <c r="G365" s="4" t="n">
        <v>50</v>
      </c>
      <c r="H365" s="4" t="s">
        <v>359</v>
      </c>
      <c r="I365" s="22" t="n">
        <v>0.12</v>
      </c>
      <c r="J365" s="4" t="n">
        <v>81</v>
      </c>
      <c r="K365" s="4" t="n">
        <v>61</v>
      </c>
      <c r="L365" s="23" t="n">
        <f aca="false">IF(J365&gt;=5,K365/J365,"too few builds")</f>
        <v>0.753086419753086</v>
      </c>
      <c r="M365" s="22" t="n">
        <v>0</v>
      </c>
      <c r="N365" s="22" t="n">
        <v>0</v>
      </c>
      <c r="O365" s="4"/>
      <c r="P365" s="4"/>
      <c r="Q365" s="4"/>
      <c r="R365" s="4" t="s">
        <v>1684</v>
      </c>
    </row>
    <row r="366" customFormat="false" ht="15" hidden="false" customHeight="false" outlineLevel="0" collapsed="false">
      <c r="A366" s="4" t="s">
        <v>1685</v>
      </c>
      <c r="B366" s="4" t="s">
        <v>393</v>
      </c>
      <c r="C366" s="4" t="s">
        <v>379</v>
      </c>
      <c r="D366" s="4" t="s">
        <v>369</v>
      </c>
      <c r="E366" s="4" t="s">
        <v>1686</v>
      </c>
      <c r="F366" s="4" t="s">
        <v>1687</v>
      </c>
      <c r="G366" s="4" t="n">
        <v>50</v>
      </c>
      <c r="H366" s="4" t="s">
        <v>359</v>
      </c>
      <c r="I366" s="22" t="n">
        <v>0.13</v>
      </c>
      <c r="J366" s="4" t="n">
        <v>83</v>
      </c>
      <c r="K366" s="4" t="n">
        <v>60</v>
      </c>
      <c r="L366" s="23" t="n">
        <f aca="false">IF(J366&gt;=5,K366/J366,"too few builds")</f>
        <v>0.72289156626506</v>
      </c>
      <c r="M366" s="22" t="n">
        <v>0</v>
      </c>
      <c r="N366" s="22" t="n">
        <v>0</v>
      </c>
      <c r="O366" s="4"/>
      <c r="P366" s="4"/>
      <c r="Q366" s="4"/>
      <c r="R366" s="4" t="s">
        <v>1688</v>
      </c>
    </row>
    <row r="367" customFormat="false" ht="15" hidden="false" customHeight="false" outlineLevel="0" collapsed="false">
      <c r="A367" s="4" t="s">
        <v>1689</v>
      </c>
      <c r="B367" s="4" t="s">
        <v>398</v>
      </c>
      <c r="C367" s="4" t="s">
        <v>379</v>
      </c>
      <c r="D367" s="4" t="s">
        <v>369</v>
      </c>
      <c r="E367" s="4" t="s">
        <v>1690</v>
      </c>
      <c r="F367" s="4" t="s">
        <v>497</v>
      </c>
      <c r="G367" s="4" t="n">
        <v>50</v>
      </c>
      <c r="H367" s="4" t="s">
        <v>359</v>
      </c>
      <c r="I367" s="22" t="n">
        <v>0.11</v>
      </c>
      <c r="J367" s="4" t="n">
        <v>90</v>
      </c>
      <c r="K367" s="4" t="n">
        <v>46</v>
      </c>
      <c r="L367" s="23" t="n">
        <f aca="false">IF(J367&gt;=5,K367/J367,"too few builds")</f>
        <v>0.511111111111111</v>
      </c>
      <c r="M367" s="22" t="n">
        <v>0</v>
      </c>
      <c r="N367" s="22" t="n">
        <v>0</v>
      </c>
      <c r="O367" s="4"/>
      <c r="P367" s="4"/>
      <c r="Q367" s="4"/>
      <c r="R367" s="4" t="s">
        <v>1691</v>
      </c>
    </row>
    <row r="368" customFormat="false" ht="15" hidden="false" customHeight="false" outlineLevel="0" collapsed="false">
      <c r="A368" s="4" t="s">
        <v>1692</v>
      </c>
      <c r="B368" s="4" t="s">
        <v>403</v>
      </c>
      <c r="C368" s="4" t="s">
        <v>379</v>
      </c>
      <c r="D368" s="4" t="s">
        <v>369</v>
      </c>
      <c r="E368" s="4" t="s">
        <v>1693</v>
      </c>
      <c r="F368" s="4" t="s">
        <v>1694</v>
      </c>
      <c r="G368" s="4" t="n">
        <v>50</v>
      </c>
      <c r="H368" s="4" t="s">
        <v>359</v>
      </c>
      <c r="I368" s="22" t="n">
        <v>0.12</v>
      </c>
      <c r="J368" s="4" t="n">
        <v>71</v>
      </c>
      <c r="K368" s="4" t="n">
        <v>66</v>
      </c>
      <c r="L368" s="23" t="n">
        <f aca="false">IF(J368&gt;=5,K368/J368,"too few builds")</f>
        <v>0.929577464788732</v>
      </c>
      <c r="M368" s="22" t="n">
        <v>0</v>
      </c>
      <c r="N368" s="22" t="n">
        <v>0</v>
      </c>
      <c r="O368" s="4"/>
      <c r="P368" s="4"/>
      <c r="Q368" s="4"/>
      <c r="R368" s="4" t="s">
        <v>1695</v>
      </c>
    </row>
    <row r="369" customFormat="false" ht="15" hidden="false" customHeight="false" outlineLevel="0" collapsed="false">
      <c r="A369" s="4" t="s">
        <v>1696</v>
      </c>
      <c r="B369" s="4" t="s">
        <v>408</v>
      </c>
      <c r="C369" s="4" t="s">
        <v>379</v>
      </c>
      <c r="D369" s="4" t="s">
        <v>369</v>
      </c>
      <c r="E369" s="4" t="s">
        <v>1697</v>
      </c>
      <c r="F369" s="4" t="s">
        <v>1211</v>
      </c>
      <c r="G369" s="4" t="n">
        <v>50</v>
      </c>
      <c r="H369" s="4" t="s">
        <v>359</v>
      </c>
      <c r="I369" s="22" t="n">
        <v>0.07</v>
      </c>
      <c r="J369" s="4" t="n">
        <v>59</v>
      </c>
      <c r="K369" s="4" t="n">
        <v>34</v>
      </c>
      <c r="L369" s="23" t="n">
        <f aca="false">IF(J369&gt;=5,K369/J369,"too few builds")</f>
        <v>0.576271186440678</v>
      </c>
      <c r="M369" s="22" t="n">
        <v>0</v>
      </c>
      <c r="N369" s="22" t="n">
        <v>0</v>
      </c>
      <c r="O369" s="4"/>
      <c r="P369" s="4"/>
      <c r="Q369" s="4"/>
      <c r="R369" s="4" t="s">
        <v>1698</v>
      </c>
    </row>
    <row r="370" customFormat="false" ht="15" hidden="false" customHeight="false" outlineLevel="0" collapsed="false">
      <c r="A370" s="4" t="s">
        <v>1699</v>
      </c>
      <c r="B370" s="4" t="s">
        <v>413</v>
      </c>
      <c r="C370" s="4" t="s">
        <v>379</v>
      </c>
      <c r="D370" s="4" t="s">
        <v>369</v>
      </c>
      <c r="E370" s="4" t="s">
        <v>1700</v>
      </c>
      <c r="F370" s="4" t="s">
        <v>753</v>
      </c>
      <c r="G370" s="4" t="n">
        <v>50</v>
      </c>
      <c r="H370" s="4" t="s">
        <v>359</v>
      </c>
      <c r="I370" s="22" t="n">
        <v>0.08</v>
      </c>
      <c r="J370" s="4" t="n">
        <v>74</v>
      </c>
      <c r="K370" s="4" t="n">
        <v>40</v>
      </c>
      <c r="L370" s="23" t="n">
        <f aca="false">IF(J370&gt;=5,K370/J370,"too few builds")</f>
        <v>0.540540540540541</v>
      </c>
      <c r="M370" s="22" t="n">
        <v>0</v>
      </c>
      <c r="N370" s="22" t="n">
        <v>0</v>
      </c>
      <c r="O370" s="4"/>
      <c r="P370" s="4"/>
      <c r="Q370" s="4"/>
      <c r="R370" s="4" t="s">
        <v>1701</v>
      </c>
    </row>
    <row r="371" customFormat="false" ht="15" hidden="false" customHeight="false" outlineLevel="0" collapsed="false">
      <c r="A371" s="4" t="s">
        <v>1702</v>
      </c>
      <c r="B371" s="4" t="s">
        <v>538</v>
      </c>
      <c r="C371" s="4" t="s">
        <v>419</v>
      </c>
      <c r="D371" s="4" t="s">
        <v>359</v>
      </c>
      <c r="E371" s="4" t="s">
        <v>1703</v>
      </c>
      <c r="F371" s="4" t="s">
        <v>1187</v>
      </c>
      <c r="G371" s="4" t="n">
        <v>60</v>
      </c>
      <c r="H371" s="4" t="s">
        <v>359</v>
      </c>
      <c r="I371" s="22" t="n">
        <v>0.11</v>
      </c>
      <c r="J371" s="4" t="n">
        <v>68</v>
      </c>
      <c r="K371" s="4" t="n">
        <v>57</v>
      </c>
      <c r="L371" s="23" t="n">
        <f aca="false">IF(J371&gt;=5,K371/J371,"too few builds")</f>
        <v>0.838235294117647</v>
      </c>
      <c r="M371" s="22" t="n">
        <v>0</v>
      </c>
      <c r="N371" s="22" t="n">
        <v>0</v>
      </c>
      <c r="O371" s="4"/>
      <c r="P371" s="4"/>
      <c r="Q371" s="4"/>
      <c r="R371" s="4" t="s">
        <v>1704</v>
      </c>
    </row>
    <row r="372" customFormat="false" ht="15" hidden="false" customHeight="false" outlineLevel="0" collapsed="false">
      <c r="A372" s="4" t="s">
        <v>1705</v>
      </c>
      <c r="B372" s="4" t="s">
        <v>711</v>
      </c>
      <c r="C372" s="4" t="s">
        <v>379</v>
      </c>
      <c r="D372" s="4" t="s">
        <v>359</v>
      </c>
      <c r="E372" s="4" t="s">
        <v>1706</v>
      </c>
      <c r="F372" s="4" t="s">
        <v>1706</v>
      </c>
      <c r="G372" s="4" t="n">
        <v>25</v>
      </c>
      <c r="H372" s="4" t="s">
        <v>359</v>
      </c>
      <c r="I372" s="22" t="n">
        <v>0.25</v>
      </c>
      <c r="J372" s="4" t="n">
        <v>332</v>
      </c>
      <c r="K372" s="4" t="n">
        <v>110</v>
      </c>
      <c r="L372" s="23" t="n">
        <f aca="false">IF(J372&gt;=5,K372/J372,"too few builds")</f>
        <v>0.331325301204819</v>
      </c>
      <c r="M372" s="22" t="n">
        <v>0.2</v>
      </c>
      <c r="N372" s="22" t="n">
        <v>0</v>
      </c>
      <c r="O372" s="4"/>
      <c r="P372" s="4" t="s">
        <v>1707</v>
      </c>
      <c r="Q372" s="4"/>
      <c r="R372" s="4" t="s">
        <v>1708</v>
      </c>
    </row>
    <row r="373" customFormat="false" ht="15" hidden="false" customHeight="false" outlineLevel="0" collapsed="false">
      <c r="A373" s="4" t="s">
        <v>1709</v>
      </c>
      <c r="B373" s="4" t="s">
        <v>215</v>
      </c>
      <c r="C373" s="4" t="s">
        <v>332</v>
      </c>
      <c r="D373" s="4" t="s">
        <v>369</v>
      </c>
      <c r="E373" s="4" t="s">
        <v>481</v>
      </c>
      <c r="F373" s="4" t="s">
        <v>371</v>
      </c>
      <c r="G373" s="4" t="n">
        <v>0</v>
      </c>
      <c r="H373" s="4" t="s">
        <v>369</v>
      </c>
      <c r="I373" s="22" t="n">
        <v>0</v>
      </c>
      <c r="J373" s="4" t="n">
        <v>51</v>
      </c>
      <c r="K373" s="4" t="n">
        <v>20</v>
      </c>
      <c r="L373" s="23" t="n">
        <f aca="false">IF(J373&gt;=5,K373/J373,"too few builds")</f>
        <v>0.392156862745098</v>
      </c>
      <c r="M373" s="22" t="n">
        <v>0</v>
      </c>
      <c r="N373" s="22" t="n">
        <v>0</v>
      </c>
      <c r="O373" s="4"/>
      <c r="P373" s="4"/>
      <c r="Q373" s="4"/>
      <c r="R373" s="4" t="s">
        <v>1710</v>
      </c>
    </row>
    <row r="374" customFormat="false" ht="15" hidden="false" customHeight="false" outlineLevel="0" collapsed="false">
      <c r="A374" s="4" t="s">
        <v>1711</v>
      </c>
      <c r="B374" s="4" t="s">
        <v>432</v>
      </c>
      <c r="C374" s="4" t="s">
        <v>379</v>
      </c>
      <c r="D374" s="4" t="s">
        <v>369</v>
      </c>
      <c r="E374" s="4" t="s">
        <v>1712</v>
      </c>
      <c r="F374" s="4" t="s">
        <v>1712</v>
      </c>
      <c r="G374" s="4" t="n">
        <v>75</v>
      </c>
      <c r="H374" s="4" t="s">
        <v>359</v>
      </c>
      <c r="I374" s="22" t="n">
        <v>0.11</v>
      </c>
      <c r="J374" s="4" t="n">
        <v>112</v>
      </c>
      <c r="K374" s="4" t="n">
        <v>47</v>
      </c>
      <c r="L374" s="23" t="n">
        <f aca="false">IF(J374&gt;=5,K374/J374,"too few builds")</f>
        <v>0.419642857142857</v>
      </c>
      <c r="M374" s="22" t="n">
        <v>0</v>
      </c>
      <c r="N374" s="22" t="n">
        <v>0</v>
      </c>
      <c r="O374" s="4"/>
      <c r="P374" s="4"/>
      <c r="Q374" s="4"/>
      <c r="R374" s="4" t="s">
        <v>1713</v>
      </c>
    </row>
    <row r="375" customFormat="false" ht="15" hidden="false" customHeight="false" outlineLevel="0" collapsed="false">
      <c r="A375" s="4" t="s">
        <v>1714</v>
      </c>
      <c r="B375" s="4" t="s">
        <v>215</v>
      </c>
      <c r="C375" s="4" t="s">
        <v>332</v>
      </c>
      <c r="D375" s="4" t="s">
        <v>369</v>
      </c>
      <c r="E375" s="4" t="s">
        <v>481</v>
      </c>
      <c r="F375" s="4" t="s">
        <v>371</v>
      </c>
      <c r="G375" s="4" t="n">
        <v>0</v>
      </c>
      <c r="H375" s="4" t="s">
        <v>369</v>
      </c>
      <c r="I375" s="22" t="n">
        <v>0</v>
      </c>
      <c r="J375" s="4" t="n">
        <v>51</v>
      </c>
      <c r="K375" s="4" t="n">
        <v>20</v>
      </c>
      <c r="L375" s="23" t="n">
        <f aca="false">IF(J375&gt;=5,K375/J375,"too few builds")</f>
        <v>0.392156862745098</v>
      </c>
      <c r="M375" s="22" t="n">
        <v>0</v>
      </c>
      <c r="N375" s="22" t="n">
        <v>0</v>
      </c>
      <c r="O375" s="4"/>
      <c r="P375" s="4"/>
      <c r="Q375" s="4"/>
      <c r="R375" s="4"/>
    </row>
    <row r="376" customFormat="false" ht="15" hidden="false" customHeight="false" outlineLevel="0" collapsed="false">
      <c r="A376" s="4" t="s">
        <v>1715</v>
      </c>
      <c r="B376" s="4" t="s">
        <v>1537</v>
      </c>
      <c r="C376" s="4" t="s">
        <v>379</v>
      </c>
      <c r="D376" s="4" t="s">
        <v>359</v>
      </c>
      <c r="E376" s="4" t="s">
        <v>1716</v>
      </c>
      <c r="F376" s="4" t="s">
        <v>1694</v>
      </c>
      <c r="G376" s="4" t="n">
        <v>50</v>
      </c>
      <c r="H376" s="4" t="s">
        <v>359</v>
      </c>
      <c r="I376" s="22" t="n">
        <v>0</v>
      </c>
      <c r="J376" s="4" t="n">
        <v>79</v>
      </c>
      <c r="K376" s="4" t="n">
        <v>9</v>
      </c>
      <c r="L376" s="23" t="n">
        <f aca="false">IF(J376&gt;=5,K376/J376,"too few builds")</f>
        <v>0.113924050632911</v>
      </c>
      <c r="M376" s="22" t="n">
        <v>0</v>
      </c>
      <c r="N376" s="22" t="n">
        <v>0</v>
      </c>
      <c r="O376" s="4"/>
      <c r="P376" s="4"/>
      <c r="Q376" s="4"/>
      <c r="R376" s="4" t="s">
        <v>1717</v>
      </c>
    </row>
    <row r="377" customFormat="false" ht="15" hidden="false" customHeight="false" outlineLevel="0" collapsed="false">
      <c r="A377" s="4" t="s">
        <v>1718</v>
      </c>
      <c r="B377" s="4" t="s">
        <v>1537</v>
      </c>
      <c r="C377" s="4" t="s">
        <v>379</v>
      </c>
      <c r="D377" s="4" t="s">
        <v>359</v>
      </c>
      <c r="E377" s="4" t="s">
        <v>1694</v>
      </c>
      <c r="F377" s="4" t="s">
        <v>1694</v>
      </c>
      <c r="G377" s="4" t="n">
        <v>50</v>
      </c>
      <c r="H377" s="4" t="s">
        <v>359</v>
      </c>
      <c r="I377" s="22" t="n">
        <v>0.08</v>
      </c>
      <c r="J377" s="4" t="n">
        <v>71</v>
      </c>
      <c r="K377" s="4" t="n">
        <v>42</v>
      </c>
      <c r="L377" s="23" t="n">
        <f aca="false">IF(J377&gt;=5,K377/J377,"too few builds")</f>
        <v>0.591549295774648</v>
      </c>
      <c r="M377" s="22" t="n">
        <v>0</v>
      </c>
      <c r="N377" s="22" t="n">
        <v>0</v>
      </c>
      <c r="O377" s="4"/>
      <c r="P377" s="4"/>
      <c r="Q377" s="4"/>
      <c r="R377" s="4" t="s">
        <v>1719</v>
      </c>
    </row>
    <row r="378" customFormat="false" ht="15" hidden="false" customHeight="false" outlineLevel="0" collapsed="false">
      <c r="A378" s="4" t="s">
        <v>1720</v>
      </c>
      <c r="B378" s="4" t="s">
        <v>403</v>
      </c>
      <c r="C378" s="4" t="s">
        <v>379</v>
      </c>
      <c r="D378" s="4" t="s">
        <v>359</v>
      </c>
      <c r="E378" s="4" t="s">
        <v>1721</v>
      </c>
      <c r="F378" s="4" t="s">
        <v>1721</v>
      </c>
      <c r="G378" s="4" t="n">
        <v>55</v>
      </c>
      <c r="H378" s="4" t="s">
        <v>359</v>
      </c>
      <c r="I378" s="22" t="n">
        <v>0.04</v>
      </c>
      <c r="J378" s="4" t="n">
        <v>43</v>
      </c>
      <c r="K378" s="4" t="n">
        <v>18</v>
      </c>
      <c r="L378" s="23" t="n">
        <f aca="false">IF(J378&gt;=5,K378/J378,"too few builds")</f>
        <v>0.418604651162791</v>
      </c>
      <c r="M378" s="22" t="n">
        <v>0</v>
      </c>
      <c r="N378" s="22" t="n">
        <v>0</v>
      </c>
      <c r="O378" s="4"/>
      <c r="P378" s="4"/>
      <c r="Q378" s="4"/>
      <c r="R378" s="4" t="s">
        <v>1722</v>
      </c>
    </row>
    <row r="379" customFormat="false" ht="15" hidden="false" customHeight="false" outlineLevel="0" collapsed="false">
      <c r="A379" s="4" t="s">
        <v>1723</v>
      </c>
      <c r="B379" s="4" t="s">
        <v>1537</v>
      </c>
      <c r="C379" s="4" t="s">
        <v>379</v>
      </c>
      <c r="D379" s="4" t="s">
        <v>359</v>
      </c>
      <c r="E379" s="4" t="s">
        <v>1694</v>
      </c>
      <c r="F379" s="4" t="s">
        <v>1694</v>
      </c>
      <c r="G379" s="4" t="n">
        <v>50</v>
      </c>
      <c r="H379" s="4" t="s">
        <v>359</v>
      </c>
      <c r="I379" s="22" t="n">
        <v>0.07</v>
      </c>
      <c r="J379" s="4" t="n">
        <v>71</v>
      </c>
      <c r="K379" s="4" t="n">
        <v>31</v>
      </c>
      <c r="L379" s="23" t="n">
        <f aca="false">IF(J379&gt;=5,K379/J379,"too few builds")</f>
        <v>0.436619718309859</v>
      </c>
      <c r="M379" s="22" t="n">
        <v>0</v>
      </c>
      <c r="N379" s="22" t="n">
        <v>0</v>
      </c>
      <c r="O379" s="4"/>
      <c r="P379" s="4"/>
      <c r="Q379" s="4"/>
      <c r="R379" s="4" t="s">
        <v>1724</v>
      </c>
    </row>
    <row r="380" customFormat="false" ht="15" hidden="false" customHeight="false" outlineLevel="0" collapsed="false">
      <c r="A380" s="4" t="s">
        <v>1725</v>
      </c>
      <c r="B380" s="4" t="s">
        <v>1726</v>
      </c>
      <c r="C380" s="4" t="s">
        <v>379</v>
      </c>
      <c r="D380" s="4" t="s">
        <v>359</v>
      </c>
      <c r="E380" s="4" t="s">
        <v>1237</v>
      </c>
      <c r="F380" s="4" t="s">
        <v>1237</v>
      </c>
      <c r="G380" s="4" t="n">
        <v>25</v>
      </c>
      <c r="H380" s="4" t="s">
        <v>359</v>
      </c>
      <c r="I380" s="22" t="n">
        <v>0.17</v>
      </c>
      <c r="J380" s="4" t="n">
        <v>158</v>
      </c>
      <c r="K380" s="4" t="n">
        <v>75</v>
      </c>
      <c r="L380" s="23" t="n">
        <f aca="false">IF(J380&gt;=5,K380/J380,"too few builds")</f>
        <v>0.474683544303797</v>
      </c>
      <c r="M380" s="22" t="n">
        <v>0</v>
      </c>
      <c r="N380" s="22" t="n">
        <v>0</v>
      </c>
      <c r="O380" s="4"/>
      <c r="P380" s="4" t="s">
        <v>1727</v>
      </c>
      <c r="Q380" s="4"/>
      <c r="R380" s="4" t="s">
        <v>1728</v>
      </c>
    </row>
    <row r="381" customFormat="false" ht="15" hidden="false" customHeight="false" outlineLevel="0" collapsed="false">
      <c r="A381" s="4" t="s">
        <v>1729</v>
      </c>
      <c r="B381" s="4" t="s">
        <v>1730</v>
      </c>
      <c r="C381" s="4" t="s">
        <v>358</v>
      </c>
      <c r="D381" s="4" t="s">
        <v>359</v>
      </c>
      <c r="E381" s="4" t="s">
        <v>1731</v>
      </c>
      <c r="F381" s="4" t="s">
        <v>1732</v>
      </c>
      <c r="G381" s="4" t="n">
        <v>90</v>
      </c>
      <c r="H381" s="4" t="s">
        <v>359</v>
      </c>
      <c r="I381" s="22" t="n">
        <v>0.12</v>
      </c>
      <c r="J381" s="4" t="n">
        <v>68</v>
      </c>
      <c r="K381" s="4" t="n">
        <v>63</v>
      </c>
      <c r="L381" s="23" t="n">
        <f aca="false">IF(J381&gt;=5,K381/J381,"too few builds")</f>
        <v>0.926470588235294</v>
      </c>
      <c r="M381" s="22" t="n">
        <v>0</v>
      </c>
      <c r="N381" s="22" t="n">
        <v>0.05</v>
      </c>
      <c r="O381" s="4"/>
      <c r="P381" s="4" t="s">
        <v>1733</v>
      </c>
      <c r="Q381" s="4"/>
      <c r="R381" s="4" t="s">
        <v>1117</v>
      </c>
    </row>
    <row r="382" customFormat="false" ht="15" hidden="false" customHeight="false" outlineLevel="0" collapsed="false">
      <c r="A382" s="4" t="s">
        <v>1734</v>
      </c>
      <c r="B382" s="4" t="s">
        <v>1073</v>
      </c>
      <c r="C382" s="4" t="s">
        <v>419</v>
      </c>
      <c r="D382" s="4" t="s">
        <v>359</v>
      </c>
      <c r="E382" s="4" t="s">
        <v>1735</v>
      </c>
      <c r="F382" s="4" t="s">
        <v>1735</v>
      </c>
      <c r="G382" s="4" t="n">
        <v>65</v>
      </c>
      <c r="H382" s="4" t="s">
        <v>359</v>
      </c>
      <c r="I382" s="22" t="n">
        <v>0.12</v>
      </c>
      <c r="J382" s="4" t="n">
        <v>72</v>
      </c>
      <c r="K382" s="4" t="n">
        <v>62</v>
      </c>
      <c r="L382" s="23" t="n">
        <f aca="false">IF(J382&gt;=5,K382/J382,"too few builds")</f>
        <v>0.861111111111111</v>
      </c>
      <c r="M382" s="22" t="n">
        <v>0</v>
      </c>
      <c r="N382" s="22" t="n">
        <v>0</v>
      </c>
      <c r="O382" s="4"/>
      <c r="P382" s="4"/>
      <c r="Q382" s="4"/>
      <c r="R382" s="4" t="s">
        <v>1736</v>
      </c>
    </row>
    <row r="383" customFormat="false" ht="15" hidden="false" customHeight="false" outlineLevel="0" collapsed="false">
      <c r="A383" s="4" t="s">
        <v>1737</v>
      </c>
      <c r="B383" s="4" t="s">
        <v>1447</v>
      </c>
      <c r="C383" s="4" t="s">
        <v>419</v>
      </c>
      <c r="D383" s="4" t="s">
        <v>359</v>
      </c>
      <c r="E383" s="4" t="s">
        <v>1738</v>
      </c>
      <c r="F383" s="4" t="s">
        <v>1738</v>
      </c>
      <c r="G383" s="4" t="n">
        <v>100</v>
      </c>
      <c r="H383" s="4" t="s">
        <v>359</v>
      </c>
      <c r="I383" s="22" t="n">
        <v>0</v>
      </c>
      <c r="J383" s="4" t="n">
        <v>41</v>
      </c>
      <c r="K383" s="4" t="n">
        <v>2</v>
      </c>
      <c r="L383" s="23" t="n">
        <f aca="false">IF(J383&gt;=5,K383/J383,"too few builds")</f>
        <v>0.0487804878048781</v>
      </c>
      <c r="M383" s="22" t="n">
        <v>0</v>
      </c>
      <c r="N383" s="22" t="n">
        <v>0</v>
      </c>
      <c r="O383" s="4"/>
      <c r="P383" s="4"/>
      <c r="Q383" s="4"/>
      <c r="R383" s="4"/>
    </row>
    <row r="384" customFormat="false" ht="15" hidden="false" customHeight="false" outlineLevel="0" collapsed="false">
      <c r="A384" s="4" t="s">
        <v>1739</v>
      </c>
      <c r="B384" s="4" t="s">
        <v>722</v>
      </c>
      <c r="C384" s="4" t="s">
        <v>379</v>
      </c>
      <c r="D384" s="4" t="s">
        <v>359</v>
      </c>
      <c r="E384" s="4" t="s">
        <v>723</v>
      </c>
      <c r="F384" s="4" t="s">
        <v>724</v>
      </c>
      <c r="G384" s="4" t="n">
        <v>80</v>
      </c>
      <c r="H384" s="4" t="s">
        <v>359</v>
      </c>
      <c r="I384" s="22" t="n">
        <v>0.03</v>
      </c>
      <c r="J384" s="4" t="n">
        <v>23</v>
      </c>
      <c r="K384" s="4" t="n">
        <v>18</v>
      </c>
      <c r="L384" s="23" t="n">
        <f aca="false">IF(J384&gt;=5,K384/J384,"too few builds")</f>
        <v>0.782608695652174</v>
      </c>
      <c r="M384" s="22" t="n">
        <v>0</v>
      </c>
      <c r="N384" s="22" t="n">
        <v>0</v>
      </c>
      <c r="O384" s="4"/>
      <c r="P384" s="4"/>
      <c r="Q384" s="4"/>
      <c r="R384" s="4" t="s">
        <v>1740</v>
      </c>
    </row>
    <row r="385" customFormat="false" ht="15" hidden="false" customHeight="false" outlineLevel="0" collapsed="false">
      <c r="A385" s="4" t="s">
        <v>1741</v>
      </c>
      <c r="B385" s="4" t="s">
        <v>571</v>
      </c>
      <c r="C385" s="4" t="s">
        <v>379</v>
      </c>
      <c r="D385" s="4" t="s">
        <v>359</v>
      </c>
      <c r="E385" s="4" t="s">
        <v>1742</v>
      </c>
      <c r="F385" s="4" t="s">
        <v>1742</v>
      </c>
      <c r="G385" s="4" t="n">
        <v>5</v>
      </c>
      <c r="H385" s="4" t="s">
        <v>359</v>
      </c>
      <c r="I385" s="22" t="n">
        <v>0.69</v>
      </c>
      <c r="J385" s="4" t="n">
        <v>445</v>
      </c>
      <c r="K385" s="4" t="n">
        <v>342</v>
      </c>
      <c r="L385" s="23" t="n">
        <f aca="false">IF(J385&gt;=5,K385/J385,"too few builds")</f>
        <v>0.768539325842697</v>
      </c>
      <c r="M385" s="22" t="n">
        <v>0</v>
      </c>
      <c r="N385" s="22" t="n">
        <v>0</v>
      </c>
      <c r="O385" s="4"/>
      <c r="P385" s="4"/>
      <c r="Q385" s="4"/>
      <c r="R385" s="4" t="s">
        <v>1743</v>
      </c>
    </row>
    <row r="386" customFormat="false" ht="15" hidden="false" customHeight="false" outlineLevel="0" collapsed="false">
      <c r="A386" s="4" t="s">
        <v>1744</v>
      </c>
      <c r="B386" s="4" t="s">
        <v>626</v>
      </c>
      <c r="C386" s="4" t="s">
        <v>379</v>
      </c>
      <c r="D386" s="4" t="s">
        <v>359</v>
      </c>
      <c r="E386" s="4" t="s">
        <v>1745</v>
      </c>
      <c r="F386" s="4" t="s">
        <v>1745</v>
      </c>
      <c r="G386" s="4" t="n">
        <v>50</v>
      </c>
      <c r="H386" s="4" t="s">
        <v>359</v>
      </c>
      <c r="I386" s="22" t="n">
        <v>0</v>
      </c>
      <c r="J386" s="4" t="n">
        <v>120</v>
      </c>
      <c r="K386" s="4" t="n">
        <v>4</v>
      </c>
      <c r="L386" s="23" t="n">
        <f aca="false">IF(J386&gt;=5,K386/J386,"too few builds")</f>
        <v>0.0333333333333333</v>
      </c>
      <c r="M386" s="22" t="n">
        <v>0</v>
      </c>
      <c r="N386" s="22" t="n">
        <v>0</v>
      </c>
      <c r="O386" s="4"/>
      <c r="P386" s="4" t="s">
        <v>1746</v>
      </c>
      <c r="Q386" s="4"/>
      <c r="R386" s="4" t="s">
        <v>1747</v>
      </c>
    </row>
    <row r="387" customFormat="false" ht="15" hidden="false" customHeight="false" outlineLevel="0" collapsed="false">
      <c r="A387" s="4" t="s">
        <v>1748</v>
      </c>
      <c r="B387" s="4" t="s">
        <v>699</v>
      </c>
      <c r="C387" s="4" t="s">
        <v>419</v>
      </c>
      <c r="D387" s="4" t="s">
        <v>359</v>
      </c>
      <c r="E387" s="4" t="s">
        <v>1749</v>
      </c>
      <c r="F387" s="4" t="s">
        <v>1749</v>
      </c>
      <c r="G387" s="4" t="n">
        <v>85</v>
      </c>
      <c r="H387" s="4" t="s">
        <v>359</v>
      </c>
      <c r="I387" s="22" t="n">
        <v>0.1</v>
      </c>
      <c r="J387" s="4" t="n">
        <v>124</v>
      </c>
      <c r="K387" s="4" t="n">
        <v>49</v>
      </c>
      <c r="L387" s="23" t="n">
        <f aca="false">IF(J387&gt;=5,K387/J387,"too few builds")</f>
        <v>0.395161290322581</v>
      </c>
      <c r="M387" s="22" t="n">
        <v>0</v>
      </c>
      <c r="N387" s="22" t="n">
        <v>0</v>
      </c>
      <c r="O387" s="4"/>
      <c r="P387" s="4" t="s">
        <v>1750</v>
      </c>
      <c r="Q387" s="4"/>
      <c r="R387" s="4"/>
    </row>
    <row r="388" customFormat="false" ht="15" hidden="false" customHeight="false" outlineLevel="0" collapsed="false">
      <c r="A388" s="4" t="s">
        <v>1751</v>
      </c>
      <c r="B388" s="4" t="s">
        <v>584</v>
      </c>
      <c r="C388" s="4" t="s">
        <v>584</v>
      </c>
      <c r="D388" s="4" t="s">
        <v>369</v>
      </c>
      <c r="E388" s="4" t="s">
        <v>585</v>
      </c>
      <c r="F388" s="4" t="s">
        <v>371</v>
      </c>
      <c r="G388" s="4" t="n">
        <v>0</v>
      </c>
      <c r="H388" s="4" t="s">
        <v>369</v>
      </c>
      <c r="I388" s="22" t="n">
        <v>0</v>
      </c>
      <c r="J388" s="4" t="n">
        <v>500</v>
      </c>
      <c r="K388" s="4" t="n">
        <v>42</v>
      </c>
      <c r="L388" s="23" t="n">
        <f aca="false">IF(J388&gt;=5,K388/J388,"too few builds")</f>
        <v>0.084</v>
      </c>
      <c r="M388" s="22" t="n">
        <v>0</v>
      </c>
      <c r="N388" s="22" t="n">
        <v>0</v>
      </c>
      <c r="O388" s="4"/>
      <c r="P388" s="4"/>
      <c r="Q388" s="4"/>
      <c r="R388" s="4" t="s">
        <v>1752</v>
      </c>
    </row>
    <row r="389" customFormat="false" ht="15" hidden="false" customHeight="false" outlineLevel="0" collapsed="false">
      <c r="A389" s="4" t="s">
        <v>1753</v>
      </c>
      <c r="B389" s="4" t="s">
        <v>1063</v>
      </c>
      <c r="C389" s="4" t="s">
        <v>379</v>
      </c>
      <c r="D389" s="4" t="s">
        <v>359</v>
      </c>
      <c r="E389" s="4" t="s">
        <v>1664</v>
      </c>
      <c r="F389" s="4" t="s">
        <v>1665</v>
      </c>
      <c r="G389" s="4" t="n">
        <v>60</v>
      </c>
      <c r="H389" s="4" t="s">
        <v>359</v>
      </c>
      <c r="I389" s="22" t="n">
        <v>0</v>
      </c>
      <c r="J389" s="4" t="n">
        <v>117</v>
      </c>
      <c r="K389" s="4" t="n">
        <v>13</v>
      </c>
      <c r="L389" s="23" t="n">
        <f aca="false">IF(J389&gt;=5,K389/J389,"too few builds")</f>
        <v>0.111111111111111</v>
      </c>
      <c r="M389" s="22" t="n">
        <v>0</v>
      </c>
      <c r="N389" s="22" t="n">
        <v>0</v>
      </c>
      <c r="O389" s="4"/>
      <c r="P389" s="4" t="s">
        <v>1754</v>
      </c>
      <c r="Q389" s="4" t="s">
        <v>1066</v>
      </c>
      <c r="R389" s="4" t="s">
        <v>1755</v>
      </c>
    </row>
    <row r="390" customFormat="false" ht="15" hidden="false" customHeight="false" outlineLevel="0" collapsed="false">
      <c r="A390" s="4" t="s">
        <v>1756</v>
      </c>
      <c r="B390" s="4" t="s">
        <v>863</v>
      </c>
      <c r="C390" s="4" t="s">
        <v>419</v>
      </c>
      <c r="D390" s="4" t="s">
        <v>359</v>
      </c>
      <c r="E390" s="4" t="s">
        <v>1757</v>
      </c>
      <c r="F390" s="4" t="s">
        <v>1758</v>
      </c>
      <c r="G390" s="4" t="n">
        <v>180</v>
      </c>
      <c r="H390" s="4" t="s">
        <v>359</v>
      </c>
      <c r="I390" s="22" t="n">
        <v>0</v>
      </c>
      <c r="J390" s="4" t="n">
        <v>6</v>
      </c>
      <c r="K390" s="4" t="n">
        <v>0</v>
      </c>
      <c r="L390" s="23" t="n">
        <f aca="false">IF(J390&gt;=5,K390/J390,"too few builds")</f>
        <v>0</v>
      </c>
      <c r="M390" s="22" t="n">
        <v>0</v>
      </c>
      <c r="N390" s="22" t="n">
        <v>0</v>
      </c>
      <c r="O390" s="4"/>
      <c r="P390" s="4"/>
      <c r="Q390" s="4"/>
      <c r="R390" s="4"/>
    </row>
    <row r="391" customFormat="false" ht="15" hidden="false" customHeight="false" outlineLevel="0" collapsed="false">
      <c r="A391" s="4" t="s">
        <v>1759</v>
      </c>
      <c r="B391" s="4" t="s">
        <v>1133</v>
      </c>
      <c r="C391" s="4" t="s">
        <v>358</v>
      </c>
      <c r="D391" s="4" t="s">
        <v>359</v>
      </c>
      <c r="E391" s="4" t="s">
        <v>1760</v>
      </c>
      <c r="F391" s="4" t="s">
        <v>1760</v>
      </c>
      <c r="G391" s="4" t="n">
        <v>85</v>
      </c>
      <c r="H391" s="4" t="s">
        <v>359</v>
      </c>
      <c r="I391" s="22" t="n">
        <v>0.08</v>
      </c>
      <c r="J391" s="4" t="n">
        <v>58</v>
      </c>
      <c r="K391" s="4" t="n">
        <v>44</v>
      </c>
      <c r="L391" s="23" t="n">
        <f aca="false">IF(J391&gt;=5,K391/J391,"too few builds")</f>
        <v>0.758620689655172</v>
      </c>
      <c r="M391" s="22" t="n">
        <v>0</v>
      </c>
      <c r="N391" s="22" t="n">
        <v>0</v>
      </c>
      <c r="O391" s="4"/>
      <c r="P391" s="4"/>
      <c r="Q391" s="4"/>
      <c r="R391" s="4" t="s">
        <v>1761</v>
      </c>
    </row>
    <row r="392" customFormat="false" ht="15" hidden="false" customHeight="false" outlineLevel="0" collapsed="false">
      <c r="A392" s="4" t="s">
        <v>1762</v>
      </c>
      <c r="B392" s="4" t="s">
        <v>1763</v>
      </c>
      <c r="C392" s="4" t="s">
        <v>419</v>
      </c>
      <c r="D392" s="4" t="s">
        <v>359</v>
      </c>
      <c r="E392" s="4" t="s">
        <v>1764</v>
      </c>
      <c r="F392" s="4" t="s">
        <v>1765</v>
      </c>
      <c r="G392" s="4" t="n">
        <v>35</v>
      </c>
      <c r="H392" s="4" t="s">
        <v>359</v>
      </c>
      <c r="I392" s="22" t="n">
        <v>0.84</v>
      </c>
      <c r="J392" s="4" t="n">
        <v>471</v>
      </c>
      <c r="K392" s="4" t="n">
        <v>407</v>
      </c>
      <c r="L392" s="23" t="n">
        <f aca="false">IF(J392&gt;=5,K392/J392,"too few builds")</f>
        <v>0.86411889596603</v>
      </c>
      <c r="M392" s="22" t="n">
        <v>0</v>
      </c>
      <c r="N392" s="22" t="n">
        <v>0</v>
      </c>
      <c r="O392" s="4"/>
      <c r="P392" s="4"/>
      <c r="Q392" s="4"/>
      <c r="R392" s="4" t="s">
        <v>1766</v>
      </c>
    </row>
    <row r="393" customFormat="false" ht="15" hidden="false" customHeight="false" outlineLevel="0" collapsed="false">
      <c r="A393" s="4" t="s">
        <v>1767</v>
      </c>
      <c r="B393" s="4" t="s">
        <v>608</v>
      </c>
      <c r="C393" s="4" t="s">
        <v>379</v>
      </c>
      <c r="D393" s="4" t="s">
        <v>359</v>
      </c>
      <c r="E393" s="4" t="s">
        <v>1768</v>
      </c>
      <c r="F393" s="4" t="s">
        <v>1769</v>
      </c>
      <c r="G393" s="4" t="n">
        <v>200</v>
      </c>
      <c r="H393" s="4" t="s">
        <v>359</v>
      </c>
      <c r="I393" s="22" t="n">
        <v>0</v>
      </c>
      <c r="J393" s="4" t="n">
        <v>7</v>
      </c>
      <c r="K393" s="4" t="n">
        <v>5</v>
      </c>
      <c r="L393" s="23" t="n">
        <f aca="false">IF(J393&gt;=5,K393/J393,"too few builds")</f>
        <v>0.714285714285714</v>
      </c>
      <c r="M393" s="22" t="n">
        <v>0</v>
      </c>
      <c r="N393" s="22" t="n">
        <v>0</v>
      </c>
      <c r="O393" s="4"/>
      <c r="P393" s="4"/>
      <c r="Q393" s="4"/>
      <c r="R393" s="4" t="s">
        <v>1770</v>
      </c>
    </row>
    <row r="394" customFormat="false" ht="15" hidden="false" customHeight="false" outlineLevel="0" collapsed="false">
      <c r="A394" s="4" t="s">
        <v>1771</v>
      </c>
      <c r="B394" s="4" t="s">
        <v>548</v>
      </c>
      <c r="C394" s="4" t="s">
        <v>379</v>
      </c>
      <c r="D394" s="4" t="s">
        <v>359</v>
      </c>
      <c r="E394" s="4" t="s">
        <v>1772</v>
      </c>
      <c r="F394" s="4" t="s">
        <v>1772</v>
      </c>
      <c r="G394" s="4" t="n">
        <v>125</v>
      </c>
      <c r="H394" s="4" t="s">
        <v>359</v>
      </c>
      <c r="I394" s="22" t="n">
        <v>0</v>
      </c>
      <c r="J394" s="4" t="n">
        <v>12</v>
      </c>
      <c r="K394" s="4" t="n">
        <v>8</v>
      </c>
      <c r="L394" s="23" t="n">
        <f aca="false">IF(J394&gt;=5,K394/J394,"too few builds")</f>
        <v>0.666666666666667</v>
      </c>
      <c r="M394" s="22" t="n">
        <v>0</v>
      </c>
      <c r="N394" s="22" t="n">
        <v>0</v>
      </c>
      <c r="O394" s="4"/>
      <c r="P394" s="4"/>
      <c r="Q394" s="4"/>
      <c r="R394" s="4" t="s">
        <v>1773</v>
      </c>
    </row>
    <row r="395" customFormat="false" ht="15" hidden="false" customHeight="false" outlineLevel="0" collapsed="false">
      <c r="A395" s="4" t="s">
        <v>1774</v>
      </c>
      <c r="B395" s="4" t="s">
        <v>1046</v>
      </c>
      <c r="C395" s="4" t="s">
        <v>379</v>
      </c>
      <c r="D395" s="4" t="s">
        <v>359</v>
      </c>
      <c r="E395" s="4" t="s">
        <v>1775</v>
      </c>
      <c r="F395" s="4" t="s">
        <v>900</v>
      </c>
      <c r="G395" s="4" t="n">
        <v>100</v>
      </c>
      <c r="H395" s="4" t="s">
        <v>359</v>
      </c>
      <c r="I395" s="22" t="n">
        <v>0.03</v>
      </c>
      <c r="J395" s="4" t="n">
        <v>21</v>
      </c>
      <c r="K395" s="4" t="n">
        <v>17</v>
      </c>
      <c r="L395" s="23" t="n">
        <f aca="false">IF(J395&gt;=5,K395/J395,"too few builds")</f>
        <v>0.80952380952381</v>
      </c>
      <c r="M395" s="22" t="n">
        <v>0</v>
      </c>
      <c r="N395" s="22" t="n">
        <v>0</v>
      </c>
      <c r="O395" s="4"/>
      <c r="P395" s="4"/>
      <c r="Q395" s="4"/>
      <c r="R395" s="4" t="s">
        <v>1776</v>
      </c>
    </row>
    <row r="396" customFormat="false" ht="15" hidden="false" customHeight="false" outlineLevel="0" collapsed="false">
      <c r="A396" s="4" t="s">
        <v>1777</v>
      </c>
      <c r="B396" s="4" t="s">
        <v>699</v>
      </c>
      <c r="C396" s="4" t="s">
        <v>358</v>
      </c>
      <c r="D396" s="4" t="s">
        <v>359</v>
      </c>
      <c r="E396" s="4" t="s">
        <v>1778</v>
      </c>
      <c r="F396" s="4" t="s">
        <v>1778</v>
      </c>
      <c r="G396" s="4" t="n">
        <v>120</v>
      </c>
      <c r="H396" s="4" t="s">
        <v>359</v>
      </c>
      <c r="I396" s="22" t="n">
        <v>0.04</v>
      </c>
      <c r="J396" s="4" t="n">
        <v>46</v>
      </c>
      <c r="K396" s="4" t="n">
        <v>31</v>
      </c>
      <c r="L396" s="23" t="n">
        <f aca="false">IF(J396&gt;=5,K396/J396,"too few builds")</f>
        <v>0.673913043478261</v>
      </c>
      <c r="M396" s="22" t="n">
        <v>0</v>
      </c>
      <c r="N396" s="22" t="n">
        <v>0</v>
      </c>
      <c r="O396" s="4"/>
      <c r="P396" s="4"/>
      <c r="Q396" s="4"/>
      <c r="R396" s="4" t="s">
        <v>1779</v>
      </c>
    </row>
    <row r="397" customFormat="false" ht="15" hidden="false" customHeight="false" outlineLevel="0" collapsed="false">
      <c r="A397" s="4" t="s">
        <v>1780</v>
      </c>
      <c r="B397" s="4" t="s">
        <v>783</v>
      </c>
      <c r="C397" s="4" t="s">
        <v>379</v>
      </c>
      <c r="D397" s="4" t="s">
        <v>359</v>
      </c>
      <c r="E397" s="4" t="s">
        <v>1781</v>
      </c>
      <c r="F397" s="4" t="s">
        <v>1781</v>
      </c>
      <c r="G397" s="4" t="n">
        <v>20</v>
      </c>
      <c r="H397" s="4" t="s">
        <v>359</v>
      </c>
      <c r="I397" s="22" t="n">
        <v>0.2</v>
      </c>
      <c r="J397" s="4" t="n">
        <v>269</v>
      </c>
      <c r="K397" s="4" t="n">
        <v>89</v>
      </c>
      <c r="L397" s="23" t="n">
        <f aca="false">IF(J397&gt;=5,K397/J397,"too few builds")</f>
        <v>0.330855018587361</v>
      </c>
      <c r="M397" s="22" t="n">
        <v>0.1</v>
      </c>
      <c r="N397" s="22" t="n">
        <v>0</v>
      </c>
      <c r="O397" s="4"/>
      <c r="P397" s="4" t="s">
        <v>1782</v>
      </c>
      <c r="Q397" s="4"/>
      <c r="R397" s="4" t="s">
        <v>1783</v>
      </c>
    </row>
    <row r="398" customFormat="false" ht="15" hidden="false" customHeight="false" outlineLevel="0" collapsed="false">
      <c r="A398" s="4" t="s">
        <v>1784</v>
      </c>
      <c r="B398" s="4" t="s">
        <v>504</v>
      </c>
      <c r="C398" s="4" t="s">
        <v>332</v>
      </c>
      <c r="D398" s="4" t="s">
        <v>369</v>
      </c>
      <c r="E398" s="4" t="s">
        <v>1785</v>
      </c>
      <c r="F398" s="4" t="s">
        <v>1785</v>
      </c>
      <c r="G398" s="4" t="n">
        <v>60</v>
      </c>
      <c r="H398" s="4" t="s">
        <v>359</v>
      </c>
      <c r="I398" s="22" t="n">
        <v>0</v>
      </c>
      <c r="J398" s="4" t="n">
        <v>0</v>
      </c>
      <c r="K398" s="4" t="n">
        <v>0</v>
      </c>
      <c r="L398" s="23" t="str">
        <f aca="false">IF(J398&gt;=5,K398/J398,"too few builds")</f>
        <v>too few builds</v>
      </c>
      <c r="M398" s="22" t="n">
        <v>0</v>
      </c>
      <c r="N398" s="22" t="n">
        <v>0</v>
      </c>
      <c r="O398" s="4"/>
      <c r="P398" s="4"/>
      <c r="Q398" s="4"/>
      <c r="R398" s="4"/>
    </row>
    <row r="399" customFormat="false" ht="15" hidden="false" customHeight="false" outlineLevel="0" collapsed="false">
      <c r="A399" s="4" t="s">
        <v>1786</v>
      </c>
      <c r="B399" s="4" t="s">
        <v>1261</v>
      </c>
      <c r="C399" s="4" t="s">
        <v>332</v>
      </c>
      <c r="D399" s="4" t="s">
        <v>369</v>
      </c>
      <c r="E399" s="4" t="s">
        <v>1787</v>
      </c>
      <c r="F399" s="4" t="s">
        <v>1788</v>
      </c>
      <c r="G399" s="4" t="n">
        <v>115</v>
      </c>
      <c r="H399" s="4" t="s">
        <v>369</v>
      </c>
      <c r="I399" s="22" t="n">
        <v>0</v>
      </c>
      <c r="J399" s="4" t="n">
        <v>0</v>
      </c>
      <c r="K399" s="4" t="n">
        <v>0</v>
      </c>
      <c r="L399" s="23" t="str">
        <f aca="false">IF(J399&gt;=5,K399/J399,"too few builds")</f>
        <v>too few builds</v>
      </c>
      <c r="M399" s="22" t="n">
        <v>0</v>
      </c>
      <c r="N399" s="22" t="n">
        <v>0</v>
      </c>
      <c r="O399" s="4"/>
      <c r="P399" s="4"/>
      <c r="Q399" s="4"/>
      <c r="R399" s="4"/>
    </row>
    <row r="400" customFormat="false" ht="15" hidden="false" customHeight="false" outlineLevel="0" collapsed="false">
      <c r="A400" s="4" t="s">
        <v>1789</v>
      </c>
      <c r="B400" s="4" t="s">
        <v>477</v>
      </c>
      <c r="C400" s="4" t="s">
        <v>332</v>
      </c>
      <c r="D400" s="4" t="s">
        <v>369</v>
      </c>
      <c r="E400" s="4" t="s">
        <v>1790</v>
      </c>
      <c r="F400" s="4" t="s">
        <v>1790</v>
      </c>
      <c r="G400" s="4" t="n">
        <v>120</v>
      </c>
      <c r="H400" s="4" t="s">
        <v>369</v>
      </c>
      <c r="I400" s="22" t="n">
        <v>0</v>
      </c>
      <c r="J400" s="4" t="n">
        <v>0</v>
      </c>
      <c r="K400" s="4" t="n">
        <v>0</v>
      </c>
      <c r="L400" s="23" t="str">
        <f aca="false">IF(J400&gt;=5,K400/J400,"too few builds")</f>
        <v>too few builds</v>
      </c>
      <c r="M400" s="22" t="n">
        <v>0</v>
      </c>
      <c r="N400" s="22" t="n">
        <v>0</v>
      </c>
      <c r="O400" s="4"/>
      <c r="P400" s="4"/>
      <c r="Q400" s="4"/>
      <c r="R400" s="4"/>
    </row>
    <row r="401" customFormat="false" ht="15" hidden="false" customHeight="false" outlineLevel="0" collapsed="false">
      <c r="A401" s="4" t="s">
        <v>1791</v>
      </c>
      <c r="B401" s="4" t="s">
        <v>458</v>
      </c>
      <c r="C401" s="4" t="s">
        <v>332</v>
      </c>
      <c r="D401" s="4" t="s">
        <v>369</v>
      </c>
      <c r="E401" s="4" t="s">
        <v>1792</v>
      </c>
      <c r="F401" s="4" t="s">
        <v>1793</v>
      </c>
      <c r="G401" s="4" t="n">
        <v>40</v>
      </c>
      <c r="H401" s="4" t="s">
        <v>359</v>
      </c>
      <c r="I401" s="22" t="n">
        <v>0</v>
      </c>
      <c r="J401" s="4" t="n">
        <v>0</v>
      </c>
      <c r="K401" s="4" t="n">
        <v>0</v>
      </c>
      <c r="L401" s="23" t="str">
        <f aca="false">IF(J401&gt;=5,K401/J401,"too few builds")</f>
        <v>too few builds</v>
      </c>
      <c r="M401" s="22" t="n">
        <v>0</v>
      </c>
      <c r="N401" s="22" t="n">
        <v>0</v>
      </c>
      <c r="O401" s="4"/>
      <c r="P401" s="4"/>
      <c r="Q401" s="4"/>
      <c r="R401" s="4"/>
    </row>
    <row r="402" customFormat="false" ht="15" hidden="false" customHeight="false" outlineLevel="0" collapsed="false">
      <c r="A402" s="4" t="s">
        <v>1794</v>
      </c>
      <c r="B402" s="4" t="s">
        <v>771</v>
      </c>
      <c r="C402" s="4" t="s">
        <v>332</v>
      </c>
      <c r="D402" s="4" t="s">
        <v>369</v>
      </c>
      <c r="E402" s="4" t="s">
        <v>1795</v>
      </c>
      <c r="F402" s="4" t="s">
        <v>1795</v>
      </c>
      <c r="G402" s="4" t="n">
        <v>40</v>
      </c>
      <c r="H402" s="4" t="s">
        <v>369</v>
      </c>
      <c r="I402" s="22" t="n">
        <v>0</v>
      </c>
      <c r="J402" s="4" t="n">
        <v>0</v>
      </c>
      <c r="K402" s="4" t="n">
        <v>0</v>
      </c>
      <c r="L402" s="23" t="str">
        <f aca="false">IF(J402&gt;=5,K402/J402,"too few builds")</f>
        <v>too few builds</v>
      </c>
      <c r="M402" s="22" t="n">
        <v>0</v>
      </c>
      <c r="N402" s="22" t="n">
        <v>0</v>
      </c>
      <c r="O402" s="4"/>
      <c r="P402" s="4"/>
      <c r="Q402" s="4"/>
      <c r="R402" s="4"/>
    </row>
    <row r="403" customFormat="false" ht="15" hidden="false" customHeight="false" outlineLevel="0" collapsed="false">
      <c r="A403" s="4" t="s">
        <v>1796</v>
      </c>
      <c r="B403" s="4" t="s">
        <v>1483</v>
      </c>
      <c r="C403" s="4" t="s">
        <v>332</v>
      </c>
      <c r="D403" s="4" t="s">
        <v>369</v>
      </c>
      <c r="E403" s="4" t="s">
        <v>1484</v>
      </c>
      <c r="F403" s="4" t="s">
        <v>371</v>
      </c>
      <c r="G403" s="4" t="n">
        <v>0</v>
      </c>
      <c r="H403" s="4" t="s">
        <v>369</v>
      </c>
      <c r="I403" s="22" t="n">
        <v>0</v>
      </c>
      <c r="J403" s="4" t="n">
        <v>0</v>
      </c>
      <c r="K403" s="4" t="n">
        <v>0</v>
      </c>
      <c r="L403" s="23" t="str">
        <f aca="false">IF(J403&gt;=5,K403/J403,"too few builds")</f>
        <v>too few builds</v>
      </c>
      <c r="M403" s="22" t="n">
        <v>0</v>
      </c>
      <c r="N403" s="22" t="n">
        <v>0</v>
      </c>
      <c r="O403" s="4"/>
      <c r="P403" s="4"/>
      <c r="Q403" s="4"/>
      <c r="R403" s="4"/>
    </row>
    <row r="404" customFormat="false" ht="15" hidden="false" customHeight="false" outlineLevel="0" collapsed="false">
      <c r="A404" s="4" t="s">
        <v>1797</v>
      </c>
      <c r="B404" s="4" t="s">
        <v>368</v>
      </c>
      <c r="C404" s="4" t="s">
        <v>332</v>
      </c>
      <c r="D404" s="4" t="s">
        <v>369</v>
      </c>
      <c r="E404" s="4" t="s">
        <v>1798</v>
      </c>
      <c r="F404" s="4" t="s">
        <v>371</v>
      </c>
      <c r="G404" s="4" t="n">
        <v>0</v>
      </c>
      <c r="H404" s="4" t="s">
        <v>369</v>
      </c>
      <c r="I404" s="22" t="n">
        <v>0</v>
      </c>
      <c r="J404" s="4" t="n">
        <v>0</v>
      </c>
      <c r="K404" s="4" t="n">
        <v>0</v>
      </c>
      <c r="L404" s="23" t="str">
        <f aca="false">IF(J404&gt;=5,K404/J404,"too few builds")</f>
        <v>too few builds</v>
      </c>
      <c r="M404" s="22" t="n">
        <v>0</v>
      </c>
      <c r="N404" s="22" t="n">
        <v>0</v>
      </c>
      <c r="O404" s="4"/>
      <c r="P404" s="4"/>
      <c r="Q404" s="4"/>
      <c r="R404" s="4"/>
    </row>
    <row r="405" customFormat="false" ht="15" hidden="false" customHeight="false" outlineLevel="0" collapsed="false">
      <c r="A405" s="4" t="s">
        <v>1799</v>
      </c>
      <c r="B405" s="4" t="s">
        <v>561</v>
      </c>
      <c r="C405" s="4" t="s">
        <v>332</v>
      </c>
      <c r="D405" s="4" t="s">
        <v>369</v>
      </c>
      <c r="E405" s="4" t="s">
        <v>1800</v>
      </c>
      <c r="F405" s="4" t="s">
        <v>371</v>
      </c>
      <c r="G405" s="4" t="n">
        <v>0</v>
      </c>
      <c r="H405" s="4" t="s">
        <v>369</v>
      </c>
      <c r="I405" s="22" t="n">
        <v>0</v>
      </c>
      <c r="J405" s="4" t="n">
        <v>0</v>
      </c>
      <c r="K405" s="4" t="n">
        <v>0</v>
      </c>
      <c r="L405" s="23" t="str">
        <f aca="false">IF(J405&gt;=5,K405/J405,"too few builds")</f>
        <v>too few builds</v>
      </c>
      <c r="M405" s="22" t="n">
        <v>0</v>
      </c>
      <c r="N405" s="22" t="n">
        <v>0</v>
      </c>
      <c r="O405" s="4"/>
      <c r="P405" s="4"/>
      <c r="Q405" s="4"/>
      <c r="R405" s="4"/>
    </row>
    <row r="406" customFormat="false" ht="15" hidden="false" customHeight="false" outlineLevel="0" collapsed="false">
      <c r="A406" s="4" t="s">
        <v>1801</v>
      </c>
      <c r="B406" s="4" t="s">
        <v>374</v>
      </c>
      <c r="C406" s="4" t="s">
        <v>332</v>
      </c>
      <c r="D406" s="4" t="s">
        <v>369</v>
      </c>
      <c r="E406" s="4" t="s">
        <v>1745</v>
      </c>
      <c r="F406" s="4" t="s">
        <v>1745</v>
      </c>
      <c r="G406" s="4" t="n">
        <v>50</v>
      </c>
      <c r="H406" s="4" t="s">
        <v>359</v>
      </c>
      <c r="I406" s="22" t="n">
        <v>0</v>
      </c>
      <c r="J406" s="4" t="n">
        <v>0</v>
      </c>
      <c r="K406" s="4" t="n">
        <v>0</v>
      </c>
      <c r="L406" s="23" t="str">
        <f aca="false">IF(J406&gt;=5,K406/J406,"too few builds")</f>
        <v>too few builds</v>
      </c>
      <c r="M406" s="22" t="n">
        <v>0</v>
      </c>
      <c r="N406" s="22" t="n">
        <v>0</v>
      </c>
      <c r="O406" s="4"/>
      <c r="P406" s="4"/>
      <c r="Q406" s="4"/>
      <c r="R406" s="4"/>
    </row>
    <row r="407" customFormat="false" ht="15" hidden="false" customHeight="false" outlineLevel="0" collapsed="false">
      <c r="A407" s="4" t="s">
        <v>1802</v>
      </c>
      <c r="B407" s="4" t="s">
        <v>1101</v>
      </c>
      <c r="C407" s="4" t="s">
        <v>332</v>
      </c>
      <c r="D407" s="4" t="s">
        <v>369</v>
      </c>
      <c r="E407" s="4" t="s">
        <v>585</v>
      </c>
      <c r="F407" s="4" t="s">
        <v>371</v>
      </c>
      <c r="G407" s="4" t="n">
        <v>0</v>
      </c>
      <c r="H407" s="4" t="s">
        <v>369</v>
      </c>
      <c r="I407" s="22" t="n">
        <v>0</v>
      </c>
      <c r="J407" s="4" t="n">
        <v>0</v>
      </c>
      <c r="K407" s="4" t="n">
        <v>0</v>
      </c>
      <c r="L407" s="23" t="str">
        <f aca="false">IF(J407&gt;=5,K407/J407,"too few builds")</f>
        <v>too few builds</v>
      </c>
      <c r="M407" s="22" t="n">
        <v>0</v>
      </c>
      <c r="N407" s="22" t="n">
        <v>0</v>
      </c>
      <c r="O407" s="4"/>
      <c r="P407" s="4"/>
      <c r="Q407" s="4"/>
      <c r="R407" s="4"/>
    </row>
    <row r="408" customFormat="false" ht="15" hidden="false" customHeight="false" outlineLevel="0" collapsed="false">
      <c r="A408" s="4" t="s">
        <v>1803</v>
      </c>
      <c r="B408" s="4" t="s">
        <v>1804</v>
      </c>
      <c r="C408" s="4" t="s">
        <v>332</v>
      </c>
      <c r="D408" s="4" t="s">
        <v>369</v>
      </c>
      <c r="E408" s="4" t="s">
        <v>585</v>
      </c>
      <c r="F408" s="4" t="s">
        <v>371</v>
      </c>
      <c r="G408" s="4" t="n">
        <v>0</v>
      </c>
      <c r="H408" s="4" t="s">
        <v>369</v>
      </c>
      <c r="I408" s="22" t="n">
        <v>0</v>
      </c>
      <c r="J408" s="4" t="n">
        <v>0</v>
      </c>
      <c r="K408" s="4" t="n">
        <v>0</v>
      </c>
      <c r="L408" s="23" t="str">
        <f aca="false">IF(J408&gt;=5,K408/J408,"too few builds")</f>
        <v>too few builds</v>
      </c>
      <c r="M408" s="22" t="n">
        <v>0</v>
      </c>
      <c r="N408" s="22" t="n">
        <v>0</v>
      </c>
      <c r="O408" s="4"/>
      <c r="P408" s="4"/>
      <c r="Q408" s="4"/>
      <c r="R408" s="4"/>
    </row>
    <row r="409" customFormat="false" ht="15" hidden="false" customHeight="false" outlineLevel="0" collapsed="false">
      <c r="A409" s="4" t="s">
        <v>1805</v>
      </c>
      <c r="B409" s="4" t="s">
        <v>1119</v>
      </c>
      <c r="C409" s="4" t="s">
        <v>332</v>
      </c>
      <c r="D409" s="4" t="s">
        <v>369</v>
      </c>
      <c r="E409" s="4" t="s">
        <v>1806</v>
      </c>
      <c r="F409" s="4" t="s">
        <v>1806</v>
      </c>
      <c r="G409" s="4" t="n">
        <v>75</v>
      </c>
      <c r="H409" s="4" t="s">
        <v>359</v>
      </c>
      <c r="I409" s="22" t="n">
        <v>0</v>
      </c>
      <c r="J409" s="4" t="n">
        <v>0</v>
      </c>
      <c r="K409" s="4" t="n">
        <v>0</v>
      </c>
      <c r="L409" s="23" t="str">
        <f aca="false">IF(J409&gt;=5,K409/J409,"too few builds")</f>
        <v>too few builds</v>
      </c>
      <c r="M409" s="22" t="n">
        <v>0</v>
      </c>
      <c r="N409" s="22" t="n">
        <v>0</v>
      </c>
      <c r="O409" s="4"/>
      <c r="P409" s="4"/>
      <c r="Q409" s="4"/>
      <c r="R409" s="4"/>
    </row>
    <row r="410" customFormat="false" ht="15" hidden="false" customHeight="false" outlineLevel="0" collapsed="false">
      <c r="A410" s="4" t="s">
        <v>1807</v>
      </c>
      <c r="B410" s="4" t="s">
        <v>487</v>
      </c>
      <c r="C410" s="4" t="s">
        <v>332</v>
      </c>
      <c r="D410" s="4" t="s">
        <v>369</v>
      </c>
      <c r="E410" s="4" t="s">
        <v>1534</v>
      </c>
      <c r="F410" s="4" t="s">
        <v>1534</v>
      </c>
      <c r="G410" s="4" t="n">
        <v>75</v>
      </c>
      <c r="H410" s="4" t="s">
        <v>359</v>
      </c>
      <c r="I410" s="22" t="n">
        <v>0</v>
      </c>
      <c r="J410" s="4" t="n">
        <v>0</v>
      </c>
      <c r="K410" s="4" t="n">
        <v>0</v>
      </c>
      <c r="L410" s="23" t="str">
        <f aca="false">IF(J410&gt;=5,K410/J410,"too few builds")</f>
        <v>too few builds</v>
      </c>
      <c r="M410" s="22" t="n">
        <v>0</v>
      </c>
      <c r="N410" s="22" t="n">
        <v>0</v>
      </c>
      <c r="O410" s="4"/>
      <c r="P410" s="4"/>
      <c r="Q410" s="4"/>
      <c r="R410" s="4"/>
    </row>
    <row r="411" customFormat="false" ht="15" hidden="false" customHeight="false" outlineLevel="0" collapsed="false">
      <c r="A411" s="4" t="s">
        <v>1808</v>
      </c>
      <c r="B411" s="4" t="s">
        <v>215</v>
      </c>
      <c r="C411" s="4" t="s">
        <v>332</v>
      </c>
      <c r="D411" s="4" t="s">
        <v>369</v>
      </c>
      <c r="E411" s="4" t="s">
        <v>1809</v>
      </c>
      <c r="F411" s="4" t="s">
        <v>1810</v>
      </c>
      <c r="G411" s="4" t="n">
        <v>125</v>
      </c>
      <c r="H411" s="4" t="s">
        <v>369</v>
      </c>
      <c r="I411" s="22" t="n">
        <v>0</v>
      </c>
      <c r="J411" s="4" t="n">
        <v>0</v>
      </c>
      <c r="K411" s="4" t="n">
        <v>0</v>
      </c>
      <c r="L411" s="23" t="str">
        <f aca="false">IF(J411&gt;=5,K411/J411,"too few builds")</f>
        <v>too few builds</v>
      </c>
      <c r="M411" s="22" t="n">
        <v>0</v>
      </c>
      <c r="N411" s="22" t="n">
        <v>0</v>
      </c>
      <c r="O411" s="4"/>
      <c r="P411" s="4"/>
      <c r="Q411" s="4"/>
      <c r="R411" s="4"/>
    </row>
    <row r="412" customFormat="false" ht="15" hidden="false" customHeight="false" outlineLevel="0" collapsed="false">
      <c r="A412" s="4" t="s">
        <v>1811</v>
      </c>
      <c r="B412" s="4" t="s">
        <v>1276</v>
      </c>
      <c r="C412" s="4" t="s">
        <v>332</v>
      </c>
      <c r="D412" s="4" t="s">
        <v>369</v>
      </c>
      <c r="E412" s="4" t="s">
        <v>1812</v>
      </c>
      <c r="F412" s="4" t="s">
        <v>1812</v>
      </c>
      <c r="G412" s="4" t="n">
        <v>50</v>
      </c>
      <c r="H412" s="4" t="s">
        <v>369</v>
      </c>
      <c r="I412" s="22" t="n">
        <v>0</v>
      </c>
      <c r="J412" s="4" t="n">
        <v>0</v>
      </c>
      <c r="K412" s="4" t="n">
        <v>0</v>
      </c>
      <c r="L412" s="23" t="str">
        <f aca="false">IF(J412&gt;=5,K412/J412,"too few builds")</f>
        <v>too few builds</v>
      </c>
      <c r="M412" s="22" t="n">
        <v>0</v>
      </c>
      <c r="N412" s="22" t="n">
        <v>0</v>
      </c>
      <c r="O412" s="4"/>
      <c r="P412" s="4"/>
      <c r="Q412" s="4"/>
      <c r="R412" s="4"/>
    </row>
    <row r="413" customFormat="false" ht="15" hidden="false" customHeight="false" outlineLevel="0" collapsed="false">
      <c r="A413" s="4" t="s">
        <v>1813</v>
      </c>
      <c r="B413" s="4" t="s">
        <v>970</v>
      </c>
      <c r="C413" s="4" t="s">
        <v>332</v>
      </c>
      <c r="D413" s="4" t="s">
        <v>369</v>
      </c>
      <c r="E413" s="4" t="s">
        <v>1814</v>
      </c>
      <c r="F413" s="4" t="s">
        <v>1814</v>
      </c>
      <c r="G413" s="4" t="n">
        <v>40</v>
      </c>
      <c r="H413" s="4" t="s">
        <v>359</v>
      </c>
      <c r="I413" s="22" t="n">
        <v>0</v>
      </c>
      <c r="J413" s="4" t="n">
        <v>0</v>
      </c>
      <c r="K413" s="4" t="n">
        <v>0</v>
      </c>
      <c r="L413" s="23" t="str">
        <f aca="false">IF(J413&gt;=5,K413/J413,"too few builds")</f>
        <v>too few builds</v>
      </c>
      <c r="M413" s="22" t="n">
        <v>0</v>
      </c>
      <c r="N413" s="22" t="n">
        <v>0</v>
      </c>
      <c r="O413" s="4"/>
      <c r="P413" s="4"/>
      <c r="Q413" s="4"/>
      <c r="R413" s="4"/>
    </row>
    <row r="414" customFormat="false" ht="15" hidden="false" customHeight="false" outlineLevel="0" collapsed="false">
      <c r="A414" s="4" t="s">
        <v>1815</v>
      </c>
      <c r="B414" s="4" t="s">
        <v>797</v>
      </c>
      <c r="C414" s="4" t="s">
        <v>332</v>
      </c>
      <c r="D414" s="4" t="s">
        <v>369</v>
      </c>
      <c r="E414" s="4" t="s">
        <v>1816</v>
      </c>
      <c r="F414" s="4" t="s">
        <v>1816</v>
      </c>
      <c r="G414" s="4" t="n">
        <v>50</v>
      </c>
      <c r="H414" s="4" t="s">
        <v>359</v>
      </c>
      <c r="I414" s="22" t="n">
        <v>0</v>
      </c>
      <c r="J414" s="4" t="n">
        <v>0</v>
      </c>
      <c r="K414" s="4" t="n">
        <v>0</v>
      </c>
      <c r="L414" s="23" t="str">
        <f aca="false">IF(J414&gt;=5,K414/J414,"too few builds")</f>
        <v>too few builds</v>
      </c>
      <c r="M414" s="22" t="n">
        <v>0</v>
      </c>
      <c r="N414" s="22" t="n">
        <v>0</v>
      </c>
      <c r="O414" s="4"/>
      <c r="P414" s="4"/>
      <c r="Q414" s="4"/>
      <c r="R414" s="4"/>
    </row>
    <row r="415" customFormat="false" ht="15" hidden="false" customHeight="false" outlineLevel="0" collapsed="false">
      <c r="A415" s="4" t="s">
        <v>1817</v>
      </c>
      <c r="B415" s="4" t="s">
        <v>1818</v>
      </c>
      <c r="C415" s="4" t="s">
        <v>419</v>
      </c>
      <c r="D415" s="4" t="s">
        <v>359</v>
      </c>
      <c r="E415" s="4" t="s">
        <v>1207</v>
      </c>
      <c r="F415" s="4" t="s">
        <v>1207</v>
      </c>
      <c r="G415" s="4" t="n">
        <v>20</v>
      </c>
      <c r="H415" s="4" t="s">
        <v>359</v>
      </c>
      <c r="I415" s="22" t="n">
        <v>0.13</v>
      </c>
      <c r="J415" s="4" t="n">
        <v>416</v>
      </c>
      <c r="K415" s="4" t="n">
        <v>70</v>
      </c>
      <c r="L415" s="23" t="n">
        <f aca="false">IF(J415&gt;=5,K415/J415,"too few builds")</f>
        <v>0.168269230769231</v>
      </c>
      <c r="M415" s="22" t="n">
        <v>0</v>
      </c>
      <c r="N415" s="22" t="n">
        <v>0</v>
      </c>
      <c r="O415" s="4"/>
      <c r="P415" s="4"/>
      <c r="Q415" s="4" t="s">
        <v>1819</v>
      </c>
      <c r="R415" s="4" t="s">
        <v>1820</v>
      </c>
    </row>
    <row r="416" customFormat="false" ht="15" hidden="false" customHeight="false" outlineLevel="0" collapsed="false">
      <c r="A416" s="4" t="s">
        <v>1821</v>
      </c>
      <c r="B416" s="4" t="s">
        <v>882</v>
      </c>
      <c r="C416" s="4" t="s">
        <v>379</v>
      </c>
      <c r="D416" s="4" t="s">
        <v>359</v>
      </c>
      <c r="E416" s="4" t="s">
        <v>1822</v>
      </c>
      <c r="F416" s="4" t="s">
        <v>918</v>
      </c>
      <c r="G416" s="4" t="n">
        <v>90</v>
      </c>
      <c r="H416" s="4" t="s">
        <v>359</v>
      </c>
      <c r="I416" s="22" t="n">
        <v>0</v>
      </c>
      <c r="J416" s="4" t="n">
        <v>23</v>
      </c>
      <c r="K416" s="4" t="n">
        <v>17</v>
      </c>
      <c r="L416" s="23" t="n">
        <f aca="false">IF(J416&gt;=5,K416/J416,"too few builds")</f>
        <v>0.739130434782609</v>
      </c>
      <c r="M416" s="22" t="n">
        <v>0</v>
      </c>
      <c r="N416" s="22" t="n">
        <v>0</v>
      </c>
      <c r="O416" s="4"/>
      <c r="P416" s="4"/>
      <c r="Q416" s="4"/>
      <c r="R416" s="4" t="s">
        <v>1823</v>
      </c>
    </row>
    <row r="417" customFormat="false" ht="15" hidden="false" customHeight="false" outlineLevel="0" collapsed="false">
      <c r="A417" s="4" t="s">
        <v>1824</v>
      </c>
      <c r="B417" s="4" t="s">
        <v>403</v>
      </c>
      <c r="C417" s="4" t="s">
        <v>379</v>
      </c>
      <c r="D417" s="4" t="s">
        <v>359</v>
      </c>
      <c r="E417" s="4" t="s">
        <v>1825</v>
      </c>
      <c r="F417" s="4" t="s">
        <v>1826</v>
      </c>
      <c r="G417" s="4" t="n">
        <v>100</v>
      </c>
      <c r="H417" s="4" t="s">
        <v>359</v>
      </c>
      <c r="I417" s="22" t="n">
        <v>0.04</v>
      </c>
      <c r="J417" s="4" t="n">
        <v>27</v>
      </c>
      <c r="K417" s="4" t="n">
        <v>20</v>
      </c>
      <c r="L417" s="23" t="n">
        <f aca="false">IF(J417&gt;=5,K417/J417,"too few builds")</f>
        <v>0.740740740740741</v>
      </c>
      <c r="M417" s="22" t="n">
        <v>0</v>
      </c>
      <c r="N417" s="22" t="n">
        <v>0</v>
      </c>
      <c r="O417" s="4"/>
      <c r="P417" s="4"/>
      <c r="Q417" s="4"/>
      <c r="R417" s="4"/>
    </row>
    <row r="418" customFormat="false" ht="15" hidden="false" customHeight="false" outlineLevel="0" collapsed="false">
      <c r="A418" s="4" t="s">
        <v>1827</v>
      </c>
      <c r="B418" s="4" t="s">
        <v>1828</v>
      </c>
      <c r="C418" s="4" t="s">
        <v>379</v>
      </c>
      <c r="D418" s="4" t="s">
        <v>359</v>
      </c>
      <c r="E418" s="4" t="s">
        <v>1829</v>
      </c>
      <c r="F418" s="4" t="s">
        <v>1829</v>
      </c>
      <c r="G418" s="4" t="n">
        <v>20</v>
      </c>
      <c r="H418" s="4" t="s">
        <v>359</v>
      </c>
      <c r="I418" s="22" t="n">
        <v>0.73</v>
      </c>
      <c r="J418" s="4" t="n">
        <v>394</v>
      </c>
      <c r="K418" s="4" t="n">
        <v>346</v>
      </c>
      <c r="L418" s="23" t="n">
        <f aca="false">IF(J418&gt;=5,K418/J418,"too few builds")</f>
        <v>0.878172588832487</v>
      </c>
      <c r="M418" s="22" t="n">
        <v>0</v>
      </c>
      <c r="N418" s="22" t="n">
        <v>0</v>
      </c>
      <c r="O418" s="4"/>
      <c r="P418" s="4"/>
      <c r="Q418" s="4"/>
      <c r="R418" s="4" t="s">
        <v>1830</v>
      </c>
    </row>
    <row r="419" customFormat="false" ht="15" hidden="false" customHeight="false" outlineLevel="0" collapsed="false">
      <c r="A419" s="4" t="s">
        <v>1831</v>
      </c>
      <c r="B419" s="4" t="s">
        <v>617</v>
      </c>
      <c r="C419" s="4" t="s">
        <v>379</v>
      </c>
      <c r="D419" s="4" t="s">
        <v>359</v>
      </c>
      <c r="E419" s="4" t="s">
        <v>1832</v>
      </c>
      <c r="F419" s="4" t="s">
        <v>1832</v>
      </c>
      <c r="G419" s="4" t="n">
        <v>40</v>
      </c>
      <c r="H419" s="4" t="s">
        <v>359</v>
      </c>
      <c r="I419" s="22" t="n">
        <v>0.08</v>
      </c>
      <c r="J419" s="4" t="n">
        <v>81</v>
      </c>
      <c r="K419" s="4" t="n">
        <v>36</v>
      </c>
      <c r="L419" s="23" t="n">
        <f aca="false">IF(J419&gt;=5,K419/J419,"too few builds")</f>
        <v>0.444444444444444</v>
      </c>
      <c r="M419" s="22" t="n">
        <v>0</v>
      </c>
      <c r="N419" s="22" t="n">
        <v>0</v>
      </c>
      <c r="O419" s="4"/>
      <c r="P419" s="4"/>
      <c r="Q419" s="4"/>
      <c r="R419" s="4" t="s">
        <v>1833</v>
      </c>
    </row>
    <row r="420" customFormat="false" ht="15" hidden="false" customHeight="false" outlineLevel="0" collapsed="false">
      <c r="A420" s="4" t="s">
        <v>1233</v>
      </c>
      <c r="B420" s="4" t="s">
        <v>1357</v>
      </c>
      <c r="C420" s="4" t="s">
        <v>379</v>
      </c>
      <c r="D420" s="4" t="s">
        <v>359</v>
      </c>
      <c r="E420" s="4" t="s">
        <v>1834</v>
      </c>
      <c r="F420" s="4" t="s">
        <v>1834</v>
      </c>
      <c r="G420" s="4" t="n">
        <v>65</v>
      </c>
      <c r="H420" s="4" t="s">
        <v>359</v>
      </c>
      <c r="I420" s="22" t="n">
        <v>0.12</v>
      </c>
      <c r="J420" s="4" t="n">
        <v>61</v>
      </c>
      <c r="K420" s="4" t="n">
        <v>52</v>
      </c>
      <c r="L420" s="23" t="n">
        <f aca="false">IF(J420&gt;=5,K420/J420,"too few builds")</f>
        <v>0.852459016393443</v>
      </c>
      <c r="M420" s="22" t="n">
        <v>0</v>
      </c>
      <c r="N420" s="22" t="n">
        <v>0</v>
      </c>
      <c r="O420" s="4"/>
      <c r="P420" s="4"/>
      <c r="Q420" s="4" t="s">
        <v>1230</v>
      </c>
      <c r="R420" s="4" t="s">
        <v>1835</v>
      </c>
    </row>
    <row r="421" customFormat="false" ht="15" hidden="false" customHeight="false" outlineLevel="0" collapsed="false">
      <c r="A421" s="4" t="s">
        <v>1836</v>
      </c>
      <c r="B421" s="4" t="s">
        <v>1341</v>
      </c>
      <c r="C421" s="4" t="s">
        <v>379</v>
      </c>
      <c r="D421" s="4" t="s">
        <v>359</v>
      </c>
      <c r="E421" s="4" t="s">
        <v>1837</v>
      </c>
      <c r="F421" s="4" t="s">
        <v>1343</v>
      </c>
      <c r="G421" s="4" t="n">
        <v>110</v>
      </c>
      <c r="H421" s="4" t="s">
        <v>359</v>
      </c>
      <c r="I421" s="22" t="n">
        <v>0</v>
      </c>
      <c r="J421" s="4" t="n">
        <v>16</v>
      </c>
      <c r="K421" s="4" t="n">
        <v>6</v>
      </c>
      <c r="L421" s="23" t="n">
        <f aca="false">IF(J421&gt;=5,K421/J421,"too few builds")</f>
        <v>0.375</v>
      </c>
      <c r="M421" s="22" t="n">
        <v>0</v>
      </c>
      <c r="N421" s="22" t="n">
        <v>0</v>
      </c>
      <c r="O421" s="4"/>
      <c r="P421" s="4" t="s">
        <v>1838</v>
      </c>
      <c r="Q421" s="4"/>
      <c r="R421" s="4" t="s">
        <v>1839</v>
      </c>
    </row>
    <row r="422" customFormat="false" ht="15" hidden="false" customHeight="false" outlineLevel="0" collapsed="false">
      <c r="A422" s="4" t="s">
        <v>1840</v>
      </c>
      <c r="B422" s="4" t="s">
        <v>1133</v>
      </c>
      <c r="C422" s="4" t="s">
        <v>419</v>
      </c>
      <c r="D422" s="4" t="s">
        <v>359</v>
      </c>
      <c r="E422" s="4" t="s">
        <v>1841</v>
      </c>
      <c r="F422" s="4" t="s">
        <v>1841</v>
      </c>
      <c r="G422" s="4" t="n">
        <v>40</v>
      </c>
      <c r="H422" s="4" t="s">
        <v>359</v>
      </c>
      <c r="I422" s="22" t="n">
        <v>0.26</v>
      </c>
      <c r="J422" s="4" t="n">
        <v>183</v>
      </c>
      <c r="K422" s="4" t="n">
        <v>128</v>
      </c>
      <c r="L422" s="23" t="n">
        <f aca="false">IF(J422&gt;=5,K422/J422,"too few builds")</f>
        <v>0.699453551912568</v>
      </c>
      <c r="M422" s="22" t="n">
        <v>0.1</v>
      </c>
      <c r="N422" s="22" t="n">
        <v>0</v>
      </c>
      <c r="O422" s="4"/>
      <c r="P422" s="4"/>
      <c r="Q422" s="4"/>
      <c r="R422" s="4" t="s">
        <v>1842</v>
      </c>
    </row>
    <row r="423" customFormat="false" ht="15" hidden="false" customHeight="false" outlineLevel="0" collapsed="false">
      <c r="A423" s="4" t="s">
        <v>1843</v>
      </c>
      <c r="B423" s="4" t="s">
        <v>608</v>
      </c>
      <c r="C423" s="4" t="s">
        <v>379</v>
      </c>
      <c r="D423" s="4" t="s">
        <v>359</v>
      </c>
      <c r="E423" s="4" t="s">
        <v>1844</v>
      </c>
      <c r="F423" s="4" t="s">
        <v>410</v>
      </c>
      <c r="G423" s="4" t="n">
        <v>20</v>
      </c>
      <c r="H423" s="4" t="s">
        <v>359</v>
      </c>
      <c r="I423" s="22" t="n">
        <v>0</v>
      </c>
      <c r="J423" s="4" t="n">
        <v>129</v>
      </c>
      <c r="K423" s="4" t="n">
        <v>8</v>
      </c>
      <c r="L423" s="23" t="n">
        <f aca="false">IF(J423&gt;=5,K423/J423,"too few builds")</f>
        <v>0.062015503875969</v>
      </c>
      <c r="M423" s="22" t="n">
        <v>0</v>
      </c>
      <c r="N423" s="22" t="n">
        <v>0</v>
      </c>
      <c r="O423" s="4"/>
      <c r="P423" s="4"/>
      <c r="Q423" s="4"/>
      <c r="R423" s="4" t="s">
        <v>1845</v>
      </c>
    </row>
    <row r="424" customFormat="false" ht="15" hidden="false" customHeight="false" outlineLevel="0" collapsed="false">
      <c r="A424" s="4" t="s">
        <v>1846</v>
      </c>
      <c r="B424" s="4" t="s">
        <v>522</v>
      </c>
      <c r="C424" s="4" t="s">
        <v>379</v>
      </c>
      <c r="D424" s="4" t="s">
        <v>359</v>
      </c>
      <c r="E424" s="4" t="s">
        <v>523</v>
      </c>
      <c r="F424" s="4" t="s">
        <v>371</v>
      </c>
      <c r="G424" s="4" t="n">
        <v>0</v>
      </c>
      <c r="H424" s="4" t="s">
        <v>369</v>
      </c>
      <c r="I424" s="22" t="n">
        <v>0.68</v>
      </c>
      <c r="J424" s="4" t="n">
        <v>500</v>
      </c>
      <c r="K424" s="4" t="n">
        <v>332</v>
      </c>
      <c r="L424" s="23" t="n">
        <f aca="false">IF(J424&gt;=5,K424/J424,"too few builds")</f>
        <v>0.664</v>
      </c>
      <c r="M424" s="22" t="n">
        <v>0</v>
      </c>
      <c r="N424" s="22" t="n">
        <v>0</v>
      </c>
      <c r="O424" s="4"/>
      <c r="P424" s="4"/>
      <c r="Q424" s="4"/>
      <c r="R424" s="4" t="s">
        <v>1847</v>
      </c>
    </row>
    <row r="425" customFormat="false" ht="15" hidden="false" customHeight="false" outlineLevel="0" collapsed="false">
      <c r="A425" s="4" t="s">
        <v>1848</v>
      </c>
      <c r="B425" s="4" t="s">
        <v>1414</v>
      </c>
      <c r="C425" s="4" t="s">
        <v>419</v>
      </c>
      <c r="D425" s="4" t="s">
        <v>359</v>
      </c>
      <c r="E425" s="4" t="s">
        <v>926</v>
      </c>
      <c r="F425" s="4" t="s">
        <v>926</v>
      </c>
      <c r="G425" s="4" t="n">
        <v>65</v>
      </c>
      <c r="H425" s="4" t="s">
        <v>359</v>
      </c>
      <c r="I425" s="22" t="n">
        <v>0.12</v>
      </c>
      <c r="J425" s="4" t="n">
        <v>74</v>
      </c>
      <c r="K425" s="4" t="n">
        <v>60</v>
      </c>
      <c r="L425" s="23" t="n">
        <f aca="false">IF(J425&gt;=5,K425/J425,"too few builds")</f>
        <v>0.810810810810811</v>
      </c>
      <c r="M425" s="22" t="n">
        <v>0</v>
      </c>
      <c r="N425" s="22" t="n">
        <v>0</v>
      </c>
      <c r="O425" s="4"/>
      <c r="P425" s="4"/>
      <c r="Q425" s="4"/>
      <c r="R425" s="4" t="s">
        <v>1849</v>
      </c>
    </row>
    <row r="426" customFormat="false" ht="15" hidden="false" customHeight="false" outlineLevel="0" collapsed="false">
      <c r="A426" s="4" t="s">
        <v>1850</v>
      </c>
      <c r="B426" s="4" t="s">
        <v>917</v>
      </c>
      <c r="C426" s="4" t="s">
        <v>379</v>
      </c>
      <c r="D426" s="4" t="s">
        <v>359</v>
      </c>
      <c r="E426" s="4" t="s">
        <v>884</v>
      </c>
      <c r="F426" s="4" t="s">
        <v>884</v>
      </c>
      <c r="G426" s="4" t="n">
        <v>85</v>
      </c>
      <c r="H426" s="4" t="s">
        <v>359</v>
      </c>
      <c r="I426" s="22" t="n">
        <v>0</v>
      </c>
      <c r="J426" s="4" t="n">
        <v>38</v>
      </c>
      <c r="K426" s="4" t="n">
        <v>10</v>
      </c>
      <c r="L426" s="23" t="n">
        <f aca="false">IF(J426&gt;=5,K426/J426,"too few builds")</f>
        <v>0.263157894736842</v>
      </c>
      <c r="M426" s="22" t="n">
        <v>0</v>
      </c>
      <c r="N426" s="22" t="n">
        <v>0</v>
      </c>
      <c r="O426" s="4"/>
      <c r="P426" s="4"/>
      <c r="Q426" s="4"/>
      <c r="R426" s="4" t="s">
        <v>1851</v>
      </c>
    </row>
    <row r="427" customFormat="false" ht="15" hidden="false" customHeight="false" outlineLevel="0" collapsed="false">
      <c r="A427" s="4" t="s">
        <v>1852</v>
      </c>
      <c r="B427" s="4" t="s">
        <v>527</v>
      </c>
      <c r="C427" s="4" t="s">
        <v>379</v>
      </c>
      <c r="D427" s="4" t="s">
        <v>359</v>
      </c>
      <c r="E427" s="4" t="s">
        <v>1618</v>
      </c>
      <c r="F427" s="4" t="s">
        <v>1618</v>
      </c>
      <c r="G427" s="4" t="n">
        <v>75</v>
      </c>
      <c r="H427" s="4" t="s">
        <v>359</v>
      </c>
      <c r="I427" s="22" t="n">
        <v>0</v>
      </c>
      <c r="J427" s="4" t="n">
        <v>101</v>
      </c>
      <c r="K427" s="4" t="n">
        <v>8</v>
      </c>
      <c r="L427" s="23" t="n">
        <f aca="false">IF(J427&gt;=5,K427/J427,"too few builds")</f>
        <v>0.0792079207920792</v>
      </c>
      <c r="M427" s="22" t="n">
        <v>0</v>
      </c>
      <c r="N427" s="22" t="n">
        <v>0</v>
      </c>
      <c r="O427" s="4"/>
      <c r="P427" s="4"/>
      <c r="Q427" s="4"/>
      <c r="R427" s="4" t="s">
        <v>1853</v>
      </c>
    </row>
    <row r="428" customFormat="false" ht="15" hidden="false" customHeight="false" outlineLevel="0" collapsed="false">
      <c r="A428" s="4" t="s">
        <v>1854</v>
      </c>
      <c r="B428" s="4" t="s">
        <v>1133</v>
      </c>
      <c r="C428" s="4" t="s">
        <v>419</v>
      </c>
      <c r="D428" s="4" t="s">
        <v>359</v>
      </c>
      <c r="E428" s="4" t="s">
        <v>801</v>
      </c>
      <c r="F428" s="4" t="s">
        <v>801</v>
      </c>
      <c r="G428" s="4" t="n">
        <v>25</v>
      </c>
      <c r="H428" s="4" t="s">
        <v>359</v>
      </c>
      <c r="I428" s="22" t="n">
        <v>0.51</v>
      </c>
      <c r="J428" s="4" t="n">
        <v>315</v>
      </c>
      <c r="K428" s="4" t="n">
        <v>254</v>
      </c>
      <c r="L428" s="23" t="n">
        <f aca="false">IF(J428&gt;=5,K428/J428,"too few builds")</f>
        <v>0.806349206349206</v>
      </c>
      <c r="M428" s="22" t="n">
        <v>0</v>
      </c>
      <c r="N428" s="22" t="n">
        <v>0</v>
      </c>
      <c r="O428" s="4"/>
      <c r="P428" s="4"/>
      <c r="Q428" s="4"/>
      <c r="R428" s="4" t="s">
        <v>1855</v>
      </c>
    </row>
    <row r="429" customFormat="false" ht="15" hidden="false" customHeight="false" outlineLevel="0" collapsed="false">
      <c r="A429" s="4" t="s">
        <v>1856</v>
      </c>
      <c r="B429" s="4" t="s">
        <v>1857</v>
      </c>
      <c r="C429" s="4" t="s">
        <v>419</v>
      </c>
      <c r="D429" s="4" t="s">
        <v>359</v>
      </c>
      <c r="E429" s="4" t="s">
        <v>1858</v>
      </c>
      <c r="F429" s="4" t="s">
        <v>1859</v>
      </c>
      <c r="G429" s="4" t="n">
        <v>65</v>
      </c>
      <c r="H429" s="4" t="s">
        <v>359</v>
      </c>
      <c r="I429" s="22" t="n">
        <v>0</v>
      </c>
      <c r="J429" s="4" t="n">
        <v>272</v>
      </c>
      <c r="K429" s="4" t="n">
        <v>4</v>
      </c>
      <c r="L429" s="23" t="n">
        <f aca="false">IF(J429&gt;=5,K429/J429,"too few builds")</f>
        <v>0.0147058823529412</v>
      </c>
      <c r="M429" s="22" t="n">
        <v>0</v>
      </c>
      <c r="N429" s="22" t="n">
        <v>0</v>
      </c>
      <c r="O429" s="4"/>
      <c r="P429" s="4"/>
      <c r="Q429" s="4"/>
      <c r="R429" s="4" t="s">
        <v>1860</v>
      </c>
    </row>
    <row r="430" customFormat="false" ht="15" hidden="false" customHeight="false" outlineLevel="0" collapsed="false">
      <c r="A430" s="4" t="s">
        <v>1861</v>
      </c>
      <c r="B430" s="4" t="s">
        <v>487</v>
      </c>
      <c r="C430" s="4" t="s">
        <v>332</v>
      </c>
      <c r="D430" s="4" t="s">
        <v>369</v>
      </c>
      <c r="E430" s="4" t="s">
        <v>488</v>
      </c>
      <c r="F430" s="4" t="s">
        <v>371</v>
      </c>
      <c r="G430" s="4" t="n">
        <v>0</v>
      </c>
      <c r="H430" s="4" t="s">
        <v>369</v>
      </c>
      <c r="I430" s="22" t="n">
        <v>0</v>
      </c>
      <c r="J430" s="4" t="n">
        <v>18</v>
      </c>
      <c r="K430" s="4" t="n">
        <v>10</v>
      </c>
      <c r="L430" s="23" t="n">
        <f aca="false">IF(J430&gt;=5,K430/J430,"too few builds")</f>
        <v>0.555555555555556</v>
      </c>
      <c r="M430" s="22" t="n">
        <v>0</v>
      </c>
      <c r="N430" s="22" t="n">
        <v>0</v>
      </c>
      <c r="O430" s="4"/>
      <c r="P430" s="4"/>
      <c r="Q430" s="4"/>
      <c r="R430" s="4"/>
    </row>
    <row r="431" customFormat="false" ht="15" hidden="false" customHeight="false" outlineLevel="0" collapsed="false">
      <c r="A431" s="4" t="s">
        <v>1862</v>
      </c>
      <c r="B431" s="4" t="s">
        <v>771</v>
      </c>
      <c r="C431" s="4" t="s">
        <v>332</v>
      </c>
      <c r="D431" s="4" t="s">
        <v>369</v>
      </c>
      <c r="E431" s="4" t="s">
        <v>772</v>
      </c>
      <c r="F431" s="4" t="s">
        <v>371</v>
      </c>
      <c r="G431" s="4" t="n">
        <v>0</v>
      </c>
      <c r="H431" s="4" t="s">
        <v>369</v>
      </c>
      <c r="I431" s="22" t="n">
        <v>0</v>
      </c>
      <c r="J431" s="4" t="n">
        <v>27</v>
      </c>
      <c r="K431" s="4" t="n">
        <v>9</v>
      </c>
      <c r="L431" s="23" t="n">
        <f aca="false">IF(J431&gt;=5,K431/J431,"too few builds")</f>
        <v>0.333333333333333</v>
      </c>
      <c r="M431" s="22" t="n">
        <v>0</v>
      </c>
      <c r="N431" s="22" t="n">
        <v>0</v>
      </c>
      <c r="O431" s="4"/>
      <c r="P431" s="4"/>
      <c r="Q431" s="4"/>
      <c r="R431" s="4" t="s">
        <v>1863</v>
      </c>
    </row>
    <row r="432" customFormat="false" ht="15" hidden="false" customHeight="false" outlineLevel="0" collapsed="false">
      <c r="A432" s="4" t="s">
        <v>1864</v>
      </c>
      <c r="B432" s="4" t="s">
        <v>571</v>
      </c>
      <c r="C432" s="4" t="s">
        <v>379</v>
      </c>
      <c r="D432" s="4" t="s">
        <v>359</v>
      </c>
      <c r="E432" s="4" t="s">
        <v>1865</v>
      </c>
      <c r="F432" s="4" t="s">
        <v>1865</v>
      </c>
      <c r="G432" s="4" t="n">
        <v>60</v>
      </c>
      <c r="H432" s="4" t="s">
        <v>359</v>
      </c>
      <c r="I432" s="22" t="n">
        <v>0.31</v>
      </c>
      <c r="J432" s="4" t="n">
        <v>321</v>
      </c>
      <c r="K432" s="4" t="n">
        <v>158</v>
      </c>
      <c r="L432" s="23" t="n">
        <f aca="false">IF(J432&gt;=5,K432/J432,"too few builds")</f>
        <v>0.492211838006231</v>
      </c>
      <c r="M432" s="22" t="n">
        <v>0</v>
      </c>
      <c r="N432" s="22" t="n">
        <v>0</v>
      </c>
      <c r="O432" s="4"/>
      <c r="P432" s="4" t="s">
        <v>1866</v>
      </c>
      <c r="Q432" s="4"/>
      <c r="R432" s="4" t="s">
        <v>1867</v>
      </c>
    </row>
    <row r="433" customFormat="false" ht="15" hidden="false" customHeight="false" outlineLevel="0" collapsed="false">
      <c r="A433" s="4" t="s">
        <v>1868</v>
      </c>
      <c r="B433" s="4" t="s">
        <v>473</v>
      </c>
      <c r="C433" s="4" t="s">
        <v>419</v>
      </c>
      <c r="D433" s="4" t="s">
        <v>359</v>
      </c>
      <c r="E433" s="4" t="s">
        <v>474</v>
      </c>
      <c r="F433" s="4" t="s">
        <v>474</v>
      </c>
      <c r="G433" s="4" t="n">
        <v>75</v>
      </c>
      <c r="H433" s="4" t="s">
        <v>359</v>
      </c>
      <c r="I433" s="22" t="n">
        <v>0.12</v>
      </c>
      <c r="J433" s="4" t="n">
        <v>66</v>
      </c>
      <c r="K433" s="4" t="n">
        <v>59</v>
      </c>
      <c r="L433" s="23" t="n">
        <f aca="false">IF(J433&gt;=5,K433/J433,"too few builds")</f>
        <v>0.893939393939394</v>
      </c>
      <c r="M433" s="22" t="n">
        <v>0</v>
      </c>
      <c r="N433" s="22" t="n">
        <v>0</v>
      </c>
      <c r="O433" s="4"/>
      <c r="P433" s="4"/>
      <c r="Q433" s="4"/>
      <c r="R433" s="4" t="s">
        <v>1869</v>
      </c>
    </row>
    <row r="434" customFormat="false" ht="15" hidden="false" customHeight="false" outlineLevel="0" collapsed="false">
      <c r="A434" s="4" t="s">
        <v>1870</v>
      </c>
      <c r="B434" s="4" t="s">
        <v>495</v>
      </c>
      <c r="C434" s="4" t="s">
        <v>379</v>
      </c>
      <c r="D434" s="4" t="s">
        <v>359</v>
      </c>
      <c r="E434" s="4" t="s">
        <v>1871</v>
      </c>
      <c r="F434" s="4" t="s">
        <v>1872</v>
      </c>
      <c r="G434" s="4" t="n">
        <v>55</v>
      </c>
      <c r="H434" s="4" t="s">
        <v>359</v>
      </c>
      <c r="I434" s="22" t="n">
        <v>0.07</v>
      </c>
      <c r="J434" s="4" t="n">
        <v>88</v>
      </c>
      <c r="K434" s="4" t="n">
        <v>38</v>
      </c>
      <c r="L434" s="23" t="n">
        <f aca="false">IF(J434&gt;=5,K434/J434,"too few builds")</f>
        <v>0.431818181818182</v>
      </c>
      <c r="M434" s="22" t="n">
        <v>0</v>
      </c>
      <c r="N434" s="22" t="n">
        <v>0</v>
      </c>
      <c r="O434" s="4"/>
      <c r="P434" s="4" t="s">
        <v>1873</v>
      </c>
      <c r="Q434" s="4"/>
      <c r="R434" s="4" t="s">
        <v>1874</v>
      </c>
    </row>
    <row r="435" customFormat="false" ht="15" hidden="false" customHeight="false" outlineLevel="0" collapsed="false">
      <c r="A435" s="4" t="s">
        <v>1875</v>
      </c>
      <c r="B435" s="4" t="s">
        <v>436</v>
      </c>
      <c r="C435" s="4" t="s">
        <v>358</v>
      </c>
      <c r="D435" s="4" t="s">
        <v>359</v>
      </c>
      <c r="E435" s="4" t="s">
        <v>1876</v>
      </c>
      <c r="F435" s="4" t="s">
        <v>437</v>
      </c>
      <c r="G435" s="4" t="n">
        <v>40</v>
      </c>
      <c r="H435" s="4" t="s">
        <v>359</v>
      </c>
      <c r="I435" s="22" t="n">
        <v>0.1</v>
      </c>
      <c r="J435" s="4" t="n">
        <v>129</v>
      </c>
      <c r="K435" s="4" t="n">
        <v>47</v>
      </c>
      <c r="L435" s="23" t="n">
        <f aca="false">IF(J435&gt;=5,K435/J435,"too few builds")</f>
        <v>0.364341085271318</v>
      </c>
      <c r="M435" s="22" t="n">
        <v>0</v>
      </c>
      <c r="N435" s="22" t="n">
        <v>0</v>
      </c>
      <c r="O435" s="4"/>
      <c r="P435" s="4" t="s">
        <v>1877</v>
      </c>
      <c r="Q435" s="4"/>
      <c r="R435" s="4" t="s">
        <v>1878</v>
      </c>
    </row>
    <row r="436" customFormat="false" ht="15" hidden="false" customHeight="false" outlineLevel="0" collapsed="false">
      <c r="A436" s="4" t="s">
        <v>1879</v>
      </c>
      <c r="B436" s="4" t="s">
        <v>1726</v>
      </c>
      <c r="C436" s="4" t="s">
        <v>379</v>
      </c>
      <c r="D436" s="4" t="s">
        <v>359</v>
      </c>
      <c r="E436" s="4" t="s">
        <v>1880</v>
      </c>
      <c r="F436" s="4" t="s">
        <v>437</v>
      </c>
      <c r="G436" s="4" t="n">
        <v>40</v>
      </c>
      <c r="H436" s="4" t="s">
        <v>359</v>
      </c>
      <c r="I436" s="22" t="n">
        <v>0.14</v>
      </c>
      <c r="J436" s="4" t="n">
        <v>129</v>
      </c>
      <c r="K436" s="4" t="n">
        <v>65</v>
      </c>
      <c r="L436" s="23" t="n">
        <f aca="false">IF(J436&gt;=5,K436/J436,"too few builds")</f>
        <v>0.503875968992248</v>
      </c>
      <c r="M436" s="22" t="n">
        <v>0</v>
      </c>
      <c r="N436" s="22" t="n">
        <v>0</v>
      </c>
      <c r="O436" s="4"/>
      <c r="P436" s="4"/>
      <c r="Q436" s="4"/>
      <c r="R436" s="4" t="s">
        <v>1881</v>
      </c>
    </row>
    <row r="437" customFormat="false" ht="15" hidden="false" customHeight="false" outlineLevel="0" collapsed="false">
      <c r="A437" s="4" t="s">
        <v>1882</v>
      </c>
      <c r="B437" s="4" t="s">
        <v>483</v>
      </c>
      <c r="C437" s="4" t="s">
        <v>379</v>
      </c>
      <c r="D437" s="4" t="s">
        <v>359</v>
      </c>
      <c r="E437" s="4" t="s">
        <v>1883</v>
      </c>
      <c r="F437" s="4" t="s">
        <v>1883</v>
      </c>
      <c r="G437" s="4" t="n">
        <v>15</v>
      </c>
      <c r="H437" s="4" t="s">
        <v>359</v>
      </c>
      <c r="I437" s="22" t="n">
        <v>0.07</v>
      </c>
      <c r="J437" s="4" t="n">
        <v>309</v>
      </c>
      <c r="K437" s="4" t="n">
        <v>39</v>
      </c>
      <c r="L437" s="23" t="n">
        <f aca="false">IF(J437&gt;=5,K437/J437,"too few builds")</f>
        <v>0.12621359223301</v>
      </c>
      <c r="M437" s="22" t="n">
        <v>0</v>
      </c>
      <c r="N437" s="22" t="n">
        <v>0</v>
      </c>
      <c r="O437" s="4"/>
      <c r="P437" s="4"/>
      <c r="Q437" s="4"/>
      <c r="R437" s="4" t="s">
        <v>1884</v>
      </c>
    </row>
    <row r="438" customFormat="false" ht="15" hidden="false" customHeight="false" outlineLevel="0" collapsed="false">
      <c r="A438" s="4" t="s">
        <v>1885</v>
      </c>
      <c r="B438" s="4" t="s">
        <v>704</v>
      </c>
      <c r="C438" s="4" t="s">
        <v>358</v>
      </c>
      <c r="D438" s="4" t="s">
        <v>359</v>
      </c>
      <c r="E438" s="4" t="s">
        <v>824</v>
      </c>
      <c r="F438" s="4" t="s">
        <v>824</v>
      </c>
      <c r="G438" s="4" t="n">
        <v>100</v>
      </c>
      <c r="H438" s="4" t="s">
        <v>359</v>
      </c>
      <c r="I438" s="22" t="n">
        <v>0.08</v>
      </c>
      <c r="J438" s="4" t="n">
        <v>50</v>
      </c>
      <c r="K438" s="4" t="n">
        <v>45</v>
      </c>
      <c r="L438" s="23" t="n">
        <f aca="false">IF(J438&gt;=5,K438/J438,"too few builds")</f>
        <v>0.9</v>
      </c>
      <c r="M438" s="22" t="n">
        <v>0</v>
      </c>
      <c r="N438" s="22" t="n">
        <v>0</v>
      </c>
      <c r="O438" s="4"/>
      <c r="P438" s="4"/>
      <c r="Q438" s="4"/>
      <c r="R438" s="4" t="s">
        <v>1886</v>
      </c>
    </row>
    <row r="439" customFormat="false" ht="15" hidden="false" customHeight="false" outlineLevel="0" collapsed="false">
      <c r="A439" s="4" t="s">
        <v>1887</v>
      </c>
      <c r="B439" s="4" t="s">
        <v>403</v>
      </c>
      <c r="C439" s="4" t="s">
        <v>379</v>
      </c>
      <c r="D439" s="4" t="s">
        <v>359</v>
      </c>
      <c r="E439" s="4" t="s">
        <v>1888</v>
      </c>
      <c r="F439" s="4" t="s">
        <v>1187</v>
      </c>
      <c r="G439" s="4" t="n">
        <v>60</v>
      </c>
      <c r="H439" s="4" t="s">
        <v>359</v>
      </c>
      <c r="I439" s="22" t="n">
        <v>0.1</v>
      </c>
      <c r="J439" s="4" t="n">
        <v>68</v>
      </c>
      <c r="K439" s="4" t="n">
        <v>49</v>
      </c>
      <c r="L439" s="23" t="n">
        <f aca="false">IF(J439&gt;=5,K439/J439,"too few builds")</f>
        <v>0.720588235294118</v>
      </c>
      <c r="M439" s="22" t="n">
        <v>0</v>
      </c>
      <c r="N439" s="22" t="n">
        <v>0</v>
      </c>
      <c r="O439" s="4"/>
      <c r="P439" s="4"/>
      <c r="Q439" s="4"/>
      <c r="R439" s="4" t="s">
        <v>1889</v>
      </c>
    </row>
    <row r="440" customFormat="false" ht="15" hidden="false" customHeight="false" outlineLevel="0" collapsed="false">
      <c r="A440" s="4" t="s">
        <v>1890</v>
      </c>
      <c r="B440" s="4" t="s">
        <v>1051</v>
      </c>
      <c r="C440" s="4" t="s">
        <v>419</v>
      </c>
      <c r="D440" s="4" t="s">
        <v>359</v>
      </c>
      <c r="E440" s="4" t="s">
        <v>1070</v>
      </c>
      <c r="F440" s="4" t="s">
        <v>1070</v>
      </c>
      <c r="G440" s="4" t="n">
        <v>80</v>
      </c>
      <c r="H440" s="4" t="s">
        <v>359</v>
      </c>
      <c r="I440" s="22" t="n">
        <v>0.18</v>
      </c>
      <c r="J440" s="4" t="n">
        <v>93</v>
      </c>
      <c r="K440" s="4" t="n">
        <v>85</v>
      </c>
      <c r="L440" s="23" t="n">
        <f aca="false">IF(J440&gt;=5,K440/J440,"too few builds")</f>
        <v>0.913978494623656</v>
      </c>
      <c r="M440" s="22" t="n">
        <v>0</v>
      </c>
      <c r="N440" s="22" t="n">
        <v>0.15</v>
      </c>
      <c r="O440" s="4"/>
      <c r="P440" s="4"/>
      <c r="Q440" s="4"/>
      <c r="R440" s="4"/>
    </row>
    <row r="441" customFormat="false" ht="15" hidden="false" customHeight="false" outlineLevel="0" collapsed="false">
      <c r="A441" s="4" t="s">
        <v>1891</v>
      </c>
      <c r="B441" s="4" t="s">
        <v>491</v>
      </c>
      <c r="C441" s="4" t="s">
        <v>419</v>
      </c>
      <c r="D441" s="4" t="s">
        <v>359</v>
      </c>
      <c r="E441" s="4" t="s">
        <v>452</v>
      </c>
      <c r="F441" s="4" t="s">
        <v>452</v>
      </c>
      <c r="G441" s="4" t="n">
        <v>60</v>
      </c>
      <c r="H441" s="4" t="s">
        <v>359</v>
      </c>
      <c r="I441" s="22" t="n">
        <v>0.03</v>
      </c>
      <c r="J441" s="4" t="n">
        <v>77</v>
      </c>
      <c r="K441" s="4" t="n">
        <v>18</v>
      </c>
      <c r="L441" s="23" t="n">
        <f aca="false">IF(J441&gt;=5,K441/J441,"too few builds")</f>
        <v>0.233766233766234</v>
      </c>
      <c r="M441" s="22" t="n">
        <v>0</v>
      </c>
      <c r="N441" s="22" t="n">
        <v>0</v>
      </c>
      <c r="O441" s="4"/>
      <c r="P441" s="4"/>
      <c r="Q441" s="4"/>
      <c r="R441" s="4" t="s">
        <v>1892</v>
      </c>
    </row>
    <row r="442" customFormat="false" ht="15" hidden="false" customHeight="false" outlineLevel="0" collapsed="false">
      <c r="A442" s="4" t="s">
        <v>1893</v>
      </c>
      <c r="B442" s="4" t="s">
        <v>888</v>
      </c>
      <c r="C442" s="4" t="s">
        <v>379</v>
      </c>
      <c r="D442" s="4" t="s">
        <v>359</v>
      </c>
      <c r="E442" s="4" t="s">
        <v>1894</v>
      </c>
      <c r="F442" s="4" t="s">
        <v>1894</v>
      </c>
      <c r="G442" s="4" t="n">
        <v>55</v>
      </c>
      <c r="H442" s="4" t="s">
        <v>359</v>
      </c>
      <c r="I442" s="22" t="n">
        <v>0</v>
      </c>
      <c r="J442" s="4" t="n">
        <v>79</v>
      </c>
      <c r="K442" s="4" t="n">
        <v>6</v>
      </c>
      <c r="L442" s="23" t="n">
        <f aca="false">IF(J442&gt;=5,K442/J442,"too few builds")</f>
        <v>0.0759493670886076</v>
      </c>
      <c r="M442" s="22" t="n">
        <v>0</v>
      </c>
      <c r="N442" s="22" t="n">
        <v>0</v>
      </c>
      <c r="O442" s="4"/>
      <c r="P442" s="4"/>
      <c r="Q442" s="4"/>
      <c r="R442" s="4" t="s">
        <v>1895</v>
      </c>
    </row>
    <row r="443" customFormat="false" ht="15" hidden="false" customHeight="false" outlineLevel="0" collapsed="false">
      <c r="A443" s="4" t="s">
        <v>1896</v>
      </c>
      <c r="B443" s="4" t="s">
        <v>888</v>
      </c>
      <c r="C443" s="4" t="s">
        <v>584</v>
      </c>
      <c r="D443" s="4" t="s">
        <v>369</v>
      </c>
      <c r="E443" s="4" t="s">
        <v>1897</v>
      </c>
      <c r="F443" s="4" t="s">
        <v>437</v>
      </c>
      <c r="G443" s="4" t="n">
        <v>40</v>
      </c>
      <c r="H443" s="4" t="s">
        <v>359</v>
      </c>
      <c r="I443" s="22" t="n">
        <v>0</v>
      </c>
      <c r="J443" s="4" t="n">
        <v>273</v>
      </c>
      <c r="K443" s="4" t="n">
        <v>6</v>
      </c>
      <c r="L443" s="23" t="n">
        <f aca="false">IF(J443&gt;=5,K443/J443,"too few builds")</f>
        <v>0.021978021978022</v>
      </c>
      <c r="M443" s="22" t="n">
        <v>0</v>
      </c>
      <c r="N443" s="22" t="n">
        <v>0</v>
      </c>
      <c r="O443" s="4"/>
      <c r="P443" s="4"/>
      <c r="Q443" s="4"/>
      <c r="R443" s="4" t="s">
        <v>1898</v>
      </c>
    </row>
    <row r="444" customFormat="false" ht="15" hidden="false" customHeight="false" outlineLevel="0" collapsed="false">
      <c r="A444" s="4" t="s">
        <v>1899</v>
      </c>
      <c r="B444" s="4" t="s">
        <v>1175</v>
      </c>
      <c r="C444" s="4" t="s">
        <v>379</v>
      </c>
      <c r="D444" s="4" t="s">
        <v>359</v>
      </c>
      <c r="E444" s="4" t="s">
        <v>1495</v>
      </c>
      <c r="F444" s="4" t="s">
        <v>371</v>
      </c>
      <c r="G444" s="4" t="n">
        <v>0</v>
      </c>
      <c r="H444" s="4" t="s">
        <v>369</v>
      </c>
      <c r="I444" s="22" t="n">
        <v>0.15</v>
      </c>
      <c r="J444" s="4" t="n">
        <v>500</v>
      </c>
      <c r="K444" s="4" t="n">
        <v>81</v>
      </c>
      <c r="L444" s="23" t="n">
        <f aca="false">IF(J444&gt;=5,K444/J444,"too few builds")</f>
        <v>0.162</v>
      </c>
      <c r="M444" s="22" t="n">
        <v>0</v>
      </c>
      <c r="N444" s="22" t="n">
        <v>0</v>
      </c>
      <c r="O444" s="4"/>
      <c r="P444" s="4"/>
      <c r="Q444" s="4"/>
      <c r="R444" s="4" t="s">
        <v>1900</v>
      </c>
    </row>
    <row r="445" customFormat="false" ht="15" hidden="false" customHeight="false" outlineLevel="0" collapsed="false">
      <c r="A445" s="4" t="s">
        <v>1901</v>
      </c>
      <c r="B445" s="4" t="s">
        <v>1011</v>
      </c>
      <c r="C445" s="4" t="s">
        <v>379</v>
      </c>
      <c r="D445" s="4" t="s">
        <v>359</v>
      </c>
      <c r="E445" s="4" t="s">
        <v>1902</v>
      </c>
      <c r="F445" s="4" t="s">
        <v>1902</v>
      </c>
      <c r="G445" s="4" t="n">
        <v>55</v>
      </c>
      <c r="H445" s="4" t="s">
        <v>359</v>
      </c>
      <c r="I445" s="22" t="n">
        <v>0</v>
      </c>
      <c r="J445" s="4" t="n">
        <v>97</v>
      </c>
      <c r="K445" s="4" t="n">
        <v>18</v>
      </c>
      <c r="L445" s="23" t="n">
        <f aca="false">IF(J445&gt;=5,K445/J445,"too few builds")</f>
        <v>0.185567010309278</v>
      </c>
      <c r="M445" s="22" t="n">
        <v>0</v>
      </c>
      <c r="N445" s="22" t="n">
        <v>0</v>
      </c>
      <c r="O445" s="4"/>
      <c r="P445" s="4" t="s">
        <v>1903</v>
      </c>
      <c r="Q445" s="4"/>
      <c r="R445" s="4" t="s">
        <v>1904</v>
      </c>
    </row>
    <row r="446" customFormat="false" ht="15" hidden="false" customHeight="false" outlineLevel="0" collapsed="false">
      <c r="A446" s="4" t="s">
        <v>1905</v>
      </c>
      <c r="B446" s="4" t="s">
        <v>1537</v>
      </c>
      <c r="C446" s="4" t="s">
        <v>379</v>
      </c>
      <c r="D446" s="4" t="s">
        <v>359</v>
      </c>
      <c r="E446" s="4" t="s">
        <v>474</v>
      </c>
      <c r="F446" s="4" t="s">
        <v>474</v>
      </c>
      <c r="G446" s="4" t="n">
        <v>75</v>
      </c>
      <c r="H446" s="4" t="s">
        <v>359</v>
      </c>
      <c r="I446" s="22" t="n">
        <v>0.12</v>
      </c>
      <c r="J446" s="4" t="n">
        <v>66</v>
      </c>
      <c r="K446" s="4" t="n">
        <v>59</v>
      </c>
      <c r="L446" s="23" t="n">
        <f aca="false">IF(J446&gt;=5,K446/J446,"too few builds")</f>
        <v>0.893939393939394</v>
      </c>
      <c r="M446" s="22" t="n">
        <v>0</v>
      </c>
      <c r="N446" s="22" t="n">
        <v>0</v>
      </c>
      <c r="O446" s="4"/>
      <c r="P446" s="4"/>
      <c r="Q446" s="4"/>
      <c r="R446" s="4" t="s">
        <v>1906</v>
      </c>
    </row>
    <row r="447" customFormat="false" ht="15" hidden="false" customHeight="false" outlineLevel="0" collapsed="false">
      <c r="A447" s="4" t="s">
        <v>1907</v>
      </c>
      <c r="B447" s="4" t="s">
        <v>683</v>
      </c>
      <c r="C447" s="4" t="s">
        <v>379</v>
      </c>
      <c r="D447" s="4" t="s">
        <v>359</v>
      </c>
      <c r="E447" s="4" t="s">
        <v>585</v>
      </c>
      <c r="F447" s="4" t="s">
        <v>371</v>
      </c>
      <c r="G447" s="4" t="n">
        <v>0</v>
      </c>
      <c r="H447" s="4" t="s">
        <v>369</v>
      </c>
      <c r="I447" s="22" t="n">
        <v>0.13</v>
      </c>
      <c r="J447" s="4" t="n">
        <v>500</v>
      </c>
      <c r="K447" s="4" t="n">
        <v>54</v>
      </c>
      <c r="L447" s="23" t="n">
        <f aca="false">IF(J447&gt;=5,K447/J447,"too few builds")</f>
        <v>0.108</v>
      </c>
      <c r="M447" s="22" t="n">
        <v>0</v>
      </c>
      <c r="N447" s="22" t="n">
        <v>0</v>
      </c>
      <c r="O447" s="4"/>
      <c r="P447" s="4"/>
      <c r="Q447" s="4"/>
      <c r="R447" s="4" t="s">
        <v>1908</v>
      </c>
    </row>
    <row r="448" customFormat="false" ht="15" hidden="false" customHeight="false" outlineLevel="0" collapsed="false">
      <c r="A448" s="4" t="s">
        <v>1909</v>
      </c>
      <c r="B448" s="4" t="s">
        <v>495</v>
      </c>
      <c r="C448" s="4" t="s">
        <v>358</v>
      </c>
      <c r="D448" s="4" t="s">
        <v>359</v>
      </c>
      <c r="E448" s="4" t="s">
        <v>1910</v>
      </c>
      <c r="F448" s="4" t="s">
        <v>361</v>
      </c>
      <c r="G448" s="4" t="n">
        <v>75</v>
      </c>
      <c r="H448" s="4" t="s">
        <v>359</v>
      </c>
      <c r="I448" s="22" t="n">
        <v>0.03</v>
      </c>
      <c r="J448" s="4" t="n">
        <v>51</v>
      </c>
      <c r="K448" s="4" t="n">
        <v>17</v>
      </c>
      <c r="L448" s="23" t="n">
        <f aca="false">IF(J448&gt;=5,K448/J448,"too few builds")</f>
        <v>0.333333333333333</v>
      </c>
      <c r="M448" s="22" t="n">
        <v>0</v>
      </c>
      <c r="N448" s="22" t="n">
        <v>0</v>
      </c>
      <c r="O448" s="4"/>
      <c r="P448" s="4" t="s">
        <v>931</v>
      </c>
      <c r="Q448" s="4"/>
      <c r="R448" s="4" t="s">
        <v>1911</v>
      </c>
    </row>
    <row r="449" customFormat="false" ht="15" hidden="false" customHeight="false" outlineLevel="0" collapsed="false">
      <c r="A449" s="4" t="s">
        <v>1912</v>
      </c>
      <c r="B449" s="4" t="s">
        <v>491</v>
      </c>
      <c r="C449" s="4" t="s">
        <v>419</v>
      </c>
      <c r="D449" s="4" t="s">
        <v>359</v>
      </c>
      <c r="E449" s="4" t="s">
        <v>1913</v>
      </c>
      <c r="F449" s="4" t="s">
        <v>1914</v>
      </c>
      <c r="G449" s="4" t="n">
        <v>45</v>
      </c>
      <c r="H449" s="4" t="s">
        <v>359</v>
      </c>
      <c r="I449" s="22" t="n">
        <v>0.04</v>
      </c>
      <c r="J449" s="4" t="n">
        <v>241</v>
      </c>
      <c r="K449" s="4" t="n">
        <v>27</v>
      </c>
      <c r="L449" s="23" t="n">
        <f aca="false">IF(J449&gt;=5,K449/J449,"too few builds")</f>
        <v>0.112033195020747</v>
      </c>
      <c r="M449" s="22" t="n">
        <v>0</v>
      </c>
      <c r="N449" s="22" t="n">
        <v>0</v>
      </c>
      <c r="O449" s="4"/>
      <c r="P449" s="4"/>
      <c r="Q449" s="4"/>
      <c r="R449" s="4" t="s">
        <v>1915</v>
      </c>
    </row>
    <row r="450" customFormat="false" ht="15" hidden="false" customHeight="false" outlineLevel="0" collapsed="false">
      <c r="A450" s="4" t="s">
        <v>1916</v>
      </c>
      <c r="B450" s="4" t="s">
        <v>803</v>
      </c>
      <c r="C450" s="4" t="s">
        <v>419</v>
      </c>
      <c r="D450" s="4" t="s">
        <v>359</v>
      </c>
      <c r="E450" s="4" t="s">
        <v>1917</v>
      </c>
      <c r="F450" s="4" t="s">
        <v>914</v>
      </c>
      <c r="G450" s="4" t="n">
        <v>60</v>
      </c>
      <c r="H450" s="4" t="s">
        <v>359</v>
      </c>
      <c r="I450" s="22" t="n">
        <v>0</v>
      </c>
      <c r="J450" s="4" t="n">
        <v>75</v>
      </c>
      <c r="K450" s="4" t="n">
        <v>8</v>
      </c>
      <c r="L450" s="23" t="n">
        <f aca="false">IF(J450&gt;=5,K450/J450,"too few builds")</f>
        <v>0.106666666666667</v>
      </c>
      <c r="M450" s="22" t="n">
        <v>0</v>
      </c>
      <c r="N450" s="22" t="n">
        <v>0</v>
      </c>
      <c r="O450" s="4"/>
      <c r="P450" s="4"/>
      <c r="Q450" s="4"/>
      <c r="R450" s="4" t="s">
        <v>1918</v>
      </c>
    </row>
    <row r="451" customFormat="false" ht="15" hidden="false" customHeight="false" outlineLevel="0" collapsed="false">
      <c r="A451" s="4" t="s">
        <v>1919</v>
      </c>
      <c r="B451" s="4" t="s">
        <v>838</v>
      </c>
      <c r="C451" s="4" t="s">
        <v>379</v>
      </c>
      <c r="D451" s="4" t="s">
        <v>359</v>
      </c>
      <c r="E451" s="4" t="s">
        <v>1920</v>
      </c>
      <c r="F451" s="4" t="s">
        <v>1920</v>
      </c>
      <c r="G451" s="4" t="n">
        <v>40</v>
      </c>
      <c r="H451" s="4" t="s">
        <v>359</v>
      </c>
      <c r="I451" s="22" t="n">
        <v>0.19</v>
      </c>
      <c r="J451" s="4" t="n">
        <v>306</v>
      </c>
      <c r="K451" s="4" t="n">
        <v>98</v>
      </c>
      <c r="L451" s="23" t="n">
        <f aca="false">IF(J451&gt;=5,K451/J451,"too few builds")</f>
        <v>0.320261437908497</v>
      </c>
      <c r="M451" s="22" t="n">
        <v>0</v>
      </c>
      <c r="N451" s="22" t="n">
        <v>0</v>
      </c>
      <c r="O451" s="4"/>
      <c r="P451" s="4" t="s">
        <v>1921</v>
      </c>
      <c r="Q451" s="4"/>
      <c r="R451" s="4" t="s">
        <v>1922</v>
      </c>
    </row>
    <row r="452" customFormat="false" ht="15" hidden="false" customHeight="false" outlineLevel="0" collapsed="false">
      <c r="A452" s="4" t="s">
        <v>1923</v>
      </c>
      <c r="B452" s="4" t="s">
        <v>655</v>
      </c>
      <c r="C452" s="4" t="s">
        <v>419</v>
      </c>
      <c r="D452" s="4" t="s">
        <v>359</v>
      </c>
      <c r="E452" s="4" t="s">
        <v>1924</v>
      </c>
      <c r="F452" s="4" t="s">
        <v>1925</v>
      </c>
      <c r="G452" s="4" t="n">
        <v>75</v>
      </c>
      <c r="H452" s="4" t="s">
        <v>359</v>
      </c>
      <c r="I452" s="22" t="n">
        <v>0</v>
      </c>
      <c r="J452" s="4" t="n">
        <v>87</v>
      </c>
      <c r="K452" s="4" t="n">
        <v>2</v>
      </c>
      <c r="L452" s="23" t="n">
        <f aca="false">IF(J452&gt;=5,K452/J452,"too few builds")</f>
        <v>0.0229885057471264</v>
      </c>
      <c r="M452" s="22" t="n">
        <v>0</v>
      </c>
      <c r="N452" s="22" t="n">
        <v>0</v>
      </c>
      <c r="O452" s="4"/>
      <c r="P452" s="4"/>
      <c r="Q452" s="4"/>
      <c r="R452" s="4" t="s">
        <v>1926</v>
      </c>
    </row>
    <row r="453" customFormat="false" ht="15" hidden="false" customHeight="false" outlineLevel="0" collapsed="false">
      <c r="A453" s="4" t="s">
        <v>1927</v>
      </c>
      <c r="B453" s="4" t="s">
        <v>441</v>
      </c>
      <c r="C453" s="4" t="s">
        <v>379</v>
      </c>
      <c r="D453" s="4" t="s">
        <v>359</v>
      </c>
      <c r="E453" s="4" t="s">
        <v>1928</v>
      </c>
      <c r="F453" s="4" t="s">
        <v>1929</v>
      </c>
      <c r="G453" s="4" t="n">
        <v>95</v>
      </c>
      <c r="H453" s="4" t="s">
        <v>359</v>
      </c>
      <c r="I453" s="22" t="n">
        <v>0.07</v>
      </c>
      <c r="J453" s="4" t="n">
        <v>49</v>
      </c>
      <c r="K453" s="4" t="n">
        <v>28</v>
      </c>
      <c r="L453" s="23" t="n">
        <f aca="false">IF(J453&gt;=5,K453/J453,"too few builds")</f>
        <v>0.571428571428571</v>
      </c>
      <c r="M453" s="22" t="n">
        <v>0.25</v>
      </c>
      <c r="N453" s="22" t="n">
        <v>0</v>
      </c>
      <c r="O453" s="4"/>
      <c r="P453" s="4"/>
      <c r="Q453" s="4"/>
      <c r="R453" s="4" t="s">
        <v>1930</v>
      </c>
    </row>
    <row r="454" customFormat="false" ht="15" hidden="false" customHeight="false" outlineLevel="0" collapsed="false">
      <c r="A454" s="4" t="s">
        <v>1931</v>
      </c>
      <c r="B454" s="4" t="s">
        <v>1932</v>
      </c>
      <c r="C454" s="4" t="s">
        <v>379</v>
      </c>
      <c r="D454" s="4" t="s">
        <v>359</v>
      </c>
      <c r="E454" s="4" t="s">
        <v>1933</v>
      </c>
      <c r="F454" s="4" t="s">
        <v>1933</v>
      </c>
      <c r="G454" s="4" t="n">
        <v>100</v>
      </c>
      <c r="H454" s="4" t="s">
        <v>359</v>
      </c>
      <c r="I454" s="22" t="n">
        <v>0</v>
      </c>
      <c r="J454" s="4" t="n">
        <v>14</v>
      </c>
      <c r="K454" s="4" t="n">
        <v>9</v>
      </c>
      <c r="L454" s="23" t="n">
        <f aca="false">IF(J454&gt;=5,K454/J454,"too few builds")</f>
        <v>0.642857142857143</v>
      </c>
      <c r="M454" s="22" t="n">
        <v>0</v>
      </c>
      <c r="N454" s="22" t="n">
        <v>0</v>
      </c>
      <c r="O454" s="4"/>
      <c r="P454" s="4" t="s">
        <v>1289</v>
      </c>
      <c r="Q454" s="4"/>
      <c r="R454" s="4" t="s">
        <v>1934</v>
      </c>
    </row>
    <row r="455" customFormat="false" ht="15" hidden="false" customHeight="false" outlineLevel="0" collapsed="false">
      <c r="A455" s="4" t="s">
        <v>1935</v>
      </c>
      <c r="B455" s="4" t="s">
        <v>988</v>
      </c>
      <c r="C455" s="4" t="s">
        <v>379</v>
      </c>
      <c r="D455" s="4" t="s">
        <v>359</v>
      </c>
      <c r="E455" s="4" t="s">
        <v>1269</v>
      </c>
      <c r="F455" s="4" t="s">
        <v>1269</v>
      </c>
      <c r="G455" s="4" t="n">
        <v>40</v>
      </c>
      <c r="H455" s="4" t="s">
        <v>359</v>
      </c>
      <c r="I455" s="22" t="n">
        <v>0</v>
      </c>
      <c r="J455" s="4" t="n">
        <v>134</v>
      </c>
      <c r="K455" s="4" t="n">
        <v>14</v>
      </c>
      <c r="L455" s="23" t="n">
        <f aca="false">IF(J455&gt;=5,K455/J455,"too few builds")</f>
        <v>0.104477611940299</v>
      </c>
      <c r="M455" s="22" t="n">
        <v>0</v>
      </c>
      <c r="N455" s="22" t="n">
        <v>0</v>
      </c>
      <c r="O455" s="4"/>
      <c r="P455" s="4"/>
      <c r="Q455" s="4"/>
      <c r="R455" s="4" t="s">
        <v>1936</v>
      </c>
    </row>
    <row r="456" customFormat="false" ht="15" hidden="false" customHeight="false" outlineLevel="0" collapsed="false">
      <c r="A456" s="4" t="s">
        <v>1937</v>
      </c>
      <c r="B456" s="4" t="s">
        <v>664</v>
      </c>
      <c r="C456" s="4" t="s">
        <v>379</v>
      </c>
      <c r="D456" s="4" t="s">
        <v>359</v>
      </c>
      <c r="E456" s="4" t="s">
        <v>1938</v>
      </c>
      <c r="F456" s="4" t="s">
        <v>1939</v>
      </c>
      <c r="G456" s="4" t="n">
        <v>90</v>
      </c>
      <c r="H456" s="4" t="s">
        <v>359</v>
      </c>
      <c r="I456" s="22" t="n">
        <v>0</v>
      </c>
      <c r="J456" s="4" t="n">
        <v>64</v>
      </c>
      <c r="K456" s="4" t="n">
        <v>0</v>
      </c>
      <c r="L456" s="23" t="n">
        <f aca="false">IF(J456&gt;=5,K456/J456,"too few builds")</f>
        <v>0</v>
      </c>
      <c r="M456" s="22" t="n">
        <v>0</v>
      </c>
      <c r="N456" s="22" t="n">
        <v>0</v>
      </c>
      <c r="O456" s="4"/>
      <c r="P456" s="4"/>
      <c r="Q456" s="4"/>
      <c r="R456" s="4"/>
    </row>
    <row r="457" customFormat="false" ht="15" hidden="false" customHeight="false" outlineLevel="0" collapsed="false">
      <c r="A457" s="4" t="s">
        <v>1940</v>
      </c>
      <c r="B457" s="4" t="s">
        <v>527</v>
      </c>
      <c r="C457" s="4" t="s">
        <v>358</v>
      </c>
      <c r="D457" s="4" t="s">
        <v>359</v>
      </c>
      <c r="E457" s="4" t="s">
        <v>1941</v>
      </c>
      <c r="F457" s="4" t="s">
        <v>1942</v>
      </c>
      <c r="G457" s="4" t="n">
        <v>170</v>
      </c>
      <c r="H457" s="4" t="s">
        <v>359</v>
      </c>
      <c r="I457" s="22" t="n">
        <v>0</v>
      </c>
      <c r="J457" s="4" t="n">
        <v>16</v>
      </c>
      <c r="K457" s="4" t="n">
        <v>7</v>
      </c>
      <c r="L457" s="23" t="n">
        <f aca="false">IF(J457&gt;=5,K457/J457,"too few builds")</f>
        <v>0.4375</v>
      </c>
      <c r="M457" s="22" t="n">
        <v>0</v>
      </c>
      <c r="N457" s="22" t="n">
        <v>0</v>
      </c>
      <c r="O457" s="4"/>
      <c r="P457" s="4"/>
      <c r="Q457" s="4"/>
      <c r="R457" s="4" t="s">
        <v>1943</v>
      </c>
    </row>
    <row r="458" customFormat="false" ht="15" hidden="false" customHeight="false" outlineLevel="0" collapsed="false">
      <c r="A458" s="4" t="s">
        <v>1944</v>
      </c>
      <c r="B458" s="4" t="s">
        <v>1225</v>
      </c>
      <c r="C458" s="4" t="s">
        <v>584</v>
      </c>
      <c r="D458" s="4" t="s">
        <v>369</v>
      </c>
      <c r="E458" s="4" t="s">
        <v>585</v>
      </c>
      <c r="F458" s="4" t="s">
        <v>371</v>
      </c>
      <c r="G458" s="4" t="n">
        <v>0</v>
      </c>
      <c r="H458" s="4" t="s">
        <v>369</v>
      </c>
      <c r="I458" s="22" t="n">
        <v>0</v>
      </c>
      <c r="J458" s="4" t="n">
        <v>500</v>
      </c>
      <c r="K458" s="4" t="n">
        <v>5</v>
      </c>
      <c r="L458" s="23" t="n">
        <f aca="false">IF(J458&gt;=5,K458/J458,"too few builds")</f>
        <v>0.01</v>
      </c>
      <c r="M458" s="22" t="n">
        <v>0</v>
      </c>
      <c r="N458" s="22" t="n">
        <v>0</v>
      </c>
      <c r="O458" s="4"/>
      <c r="P458" s="4"/>
      <c r="Q458" s="4"/>
      <c r="R458" s="4" t="s">
        <v>1945</v>
      </c>
    </row>
    <row r="459" customFormat="false" ht="15" hidden="false" customHeight="false" outlineLevel="0" collapsed="false">
      <c r="A459" s="4" t="s">
        <v>1946</v>
      </c>
      <c r="B459" s="4" t="s">
        <v>1083</v>
      </c>
      <c r="C459" s="4" t="s">
        <v>379</v>
      </c>
      <c r="D459" s="4" t="s">
        <v>359</v>
      </c>
      <c r="E459" s="4" t="s">
        <v>1947</v>
      </c>
      <c r="F459" s="4" t="s">
        <v>787</v>
      </c>
      <c r="G459" s="4" t="n">
        <v>75</v>
      </c>
      <c r="H459" s="4" t="s">
        <v>359</v>
      </c>
      <c r="I459" s="22" t="n">
        <v>0</v>
      </c>
      <c r="J459" s="4" t="n">
        <v>67</v>
      </c>
      <c r="K459" s="4" t="n">
        <v>9</v>
      </c>
      <c r="L459" s="23" t="n">
        <f aca="false">IF(J459&gt;=5,K459/J459,"too few builds")</f>
        <v>0.134328358208955</v>
      </c>
      <c r="M459" s="22" t="n">
        <v>0</v>
      </c>
      <c r="N459" s="22" t="n">
        <v>0</v>
      </c>
      <c r="O459" s="4"/>
      <c r="P459" s="4"/>
      <c r="Q459" s="4"/>
      <c r="R459" s="4"/>
    </row>
    <row r="460" customFormat="false" ht="15" hidden="false" customHeight="false" outlineLevel="0" collapsed="false">
      <c r="A460" s="4" t="s">
        <v>1948</v>
      </c>
      <c r="B460" s="4" t="s">
        <v>368</v>
      </c>
      <c r="C460" s="4" t="s">
        <v>332</v>
      </c>
      <c r="D460" s="4" t="s">
        <v>369</v>
      </c>
      <c r="E460" s="4" t="s">
        <v>370</v>
      </c>
      <c r="F460" s="4" t="s">
        <v>371</v>
      </c>
      <c r="G460" s="4" t="n">
        <v>0</v>
      </c>
      <c r="H460" s="4" t="s">
        <v>369</v>
      </c>
      <c r="I460" s="22" t="n">
        <v>0</v>
      </c>
      <c r="J460" s="4" t="n">
        <v>28</v>
      </c>
      <c r="K460" s="4" t="n">
        <v>12</v>
      </c>
      <c r="L460" s="23" t="n">
        <f aca="false">IF(J460&gt;=5,K460/J460,"too few builds")</f>
        <v>0.428571428571429</v>
      </c>
      <c r="M460" s="22" t="n">
        <v>0</v>
      </c>
      <c r="N460" s="22" t="n">
        <v>0</v>
      </c>
      <c r="O460" s="4"/>
      <c r="P460" s="4"/>
      <c r="Q460" s="4"/>
      <c r="R460" s="4" t="s">
        <v>1949</v>
      </c>
    </row>
    <row r="461" customFormat="false" ht="15" hidden="false" customHeight="false" outlineLevel="0" collapsed="false">
      <c r="A461" s="4" t="s">
        <v>1950</v>
      </c>
      <c r="B461" s="4" t="s">
        <v>1272</v>
      </c>
      <c r="C461" s="4" t="s">
        <v>419</v>
      </c>
      <c r="D461" s="4" t="s">
        <v>359</v>
      </c>
      <c r="E461" s="4" t="s">
        <v>1951</v>
      </c>
      <c r="F461" s="4" t="s">
        <v>1951</v>
      </c>
      <c r="G461" s="4" t="n">
        <v>20</v>
      </c>
      <c r="H461" s="4" t="s">
        <v>359</v>
      </c>
      <c r="I461" s="22" t="n">
        <v>0.18</v>
      </c>
      <c r="J461" s="4" t="n">
        <v>153</v>
      </c>
      <c r="K461" s="4" t="n">
        <v>73</v>
      </c>
      <c r="L461" s="23" t="n">
        <f aca="false">IF(J461&gt;=5,K461/J461,"too few builds")</f>
        <v>0.477124183006536</v>
      </c>
      <c r="M461" s="22" t="n">
        <v>0</v>
      </c>
      <c r="N461" s="22" t="n">
        <v>0</v>
      </c>
      <c r="O461" s="4"/>
      <c r="P461" s="4"/>
      <c r="Q461" s="4"/>
      <c r="R461" s="4" t="s">
        <v>1952</v>
      </c>
    </row>
    <row r="462" customFormat="false" ht="15" hidden="false" customHeight="false" outlineLevel="0" collapsed="false">
      <c r="A462" s="4" t="s">
        <v>1953</v>
      </c>
      <c r="B462" s="4" t="s">
        <v>793</v>
      </c>
      <c r="C462" s="4" t="s">
        <v>379</v>
      </c>
      <c r="D462" s="4" t="s">
        <v>359</v>
      </c>
      <c r="E462" s="4" t="s">
        <v>1954</v>
      </c>
      <c r="F462" s="4" t="s">
        <v>1048</v>
      </c>
      <c r="G462" s="4" t="n">
        <v>90</v>
      </c>
      <c r="H462" s="4" t="s">
        <v>359</v>
      </c>
      <c r="I462" s="22" t="n">
        <v>0.04</v>
      </c>
      <c r="J462" s="4" t="n">
        <v>27</v>
      </c>
      <c r="K462" s="4" t="n">
        <v>17</v>
      </c>
      <c r="L462" s="23" t="n">
        <f aca="false">IF(J462&gt;=5,K462/J462,"too few builds")</f>
        <v>0.62962962962963</v>
      </c>
      <c r="M462" s="22" t="n">
        <v>0</v>
      </c>
      <c r="N462" s="22" t="n">
        <v>0</v>
      </c>
      <c r="O462" s="4"/>
      <c r="P462" s="4"/>
      <c r="Q462" s="4"/>
      <c r="R462" s="4" t="s">
        <v>1955</v>
      </c>
    </row>
    <row r="463" customFormat="false" ht="15" hidden="false" customHeight="false" outlineLevel="0" collapsed="false">
      <c r="A463" s="4" t="s">
        <v>1956</v>
      </c>
      <c r="B463" s="4" t="s">
        <v>527</v>
      </c>
      <c r="C463" s="4" t="s">
        <v>379</v>
      </c>
      <c r="D463" s="4" t="s">
        <v>359</v>
      </c>
      <c r="E463" s="4" t="s">
        <v>1269</v>
      </c>
      <c r="F463" s="4" t="s">
        <v>1269</v>
      </c>
      <c r="G463" s="4" t="n">
        <v>40</v>
      </c>
      <c r="H463" s="4" t="s">
        <v>359</v>
      </c>
      <c r="I463" s="22" t="n">
        <v>0</v>
      </c>
      <c r="J463" s="4" t="n">
        <v>134</v>
      </c>
      <c r="K463" s="4" t="n">
        <v>4</v>
      </c>
      <c r="L463" s="23" t="n">
        <f aca="false">IF(J463&gt;=5,K463/J463,"too few builds")</f>
        <v>0.0298507462686567</v>
      </c>
      <c r="M463" s="22" t="n">
        <v>0</v>
      </c>
      <c r="N463" s="22" t="n">
        <v>0</v>
      </c>
      <c r="O463" s="4"/>
      <c r="P463" s="4"/>
      <c r="Q463" s="4"/>
      <c r="R463" s="4" t="s">
        <v>1957</v>
      </c>
    </row>
    <row r="464" customFormat="false" ht="15" hidden="false" customHeight="false" outlineLevel="0" collapsed="false">
      <c r="A464" s="4" t="s">
        <v>1958</v>
      </c>
      <c r="B464" s="4" t="s">
        <v>527</v>
      </c>
      <c r="C464" s="4" t="s">
        <v>379</v>
      </c>
      <c r="D464" s="4" t="s">
        <v>359</v>
      </c>
      <c r="E464" s="4" t="s">
        <v>1959</v>
      </c>
      <c r="F464" s="4" t="s">
        <v>1959</v>
      </c>
      <c r="G464" s="4" t="n">
        <v>55</v>
      </c>
      <c r="H464" s="4" t="s">
        <v>359</v>
      </c>
      <c r="I464" s="22" t="n">
        <v>0</v>
      </c>
      <c r="J464" s="4" t="n">
        <v>110</v>
      </c>
      <c r="K464" s="4" t="n">
        <v>5</v>
      </c>
      <c r="L464" s="23" t="n">
        <f aca="false">IF(J464&gt;=5,K464/J464,"too few builds")</f>
        <v>0.0454545454545455</v>
      </c>
      <c r="M464" s="22" t="n">
        <v>0</v>
      </c>
      <c r="N464" s="22" t="n">
        <v>0</v>
      </c>
      <c r="O464" s="4"/>
      <c r="P464" s="4"/>
      <c r="Q464" s="4"/>
      <c r="R464" s="4" t="s">
        <v>1960</v>
      </c>
    </row>
    <row r="465" customFormat="false" ht="15" hidden="false" customHeight="false" outlineLevel="0" collapsed="false">
      <c r="A465" s="4" t="s">
        <v>1961</v>
      </c>
      <c r="B465" s="4" t="s">
        <v>1003</v>
      </c>
      <c r="C465" s="4" t="s">
        <v>379</v>
      </c>
      <c r="D465" s="4" t="s">
        <v>359</v>
      </c>
      <c r="E465" s="4" t="s">
        <v>1962</v>
      </c>
      <c r="F465" s="4" t="s">
        <v>1963</v>
      </c>
      <c r="G465" s="4" t="n">
        <v>130</v>
      </c>
      <c r="H465" s="4" t="s">
        <v>359</v>
      </c>
      <c r="I465" s="22" t="n">
        <v>0</v>
      </c>
      <c r="J465" s="4" t="n">
        <v>8</v>
      </c>
      <c r="K465" s="4" t="n">
        <v>0</v>
      </c>
      <c r="L465" s="23" t="n">
        <f aca="false">IF(J465&gt;=5,K465/J465,"too few builds")</f>
        <v>0</v>
      </c>
      <c r="M465" s="22" t="n">
        <v>0</v>
      </c>
      <c r="N465" s="22" t="n">
        <v>0</v>
      </c>
      <c r="O465" s="4"/>
      <c r="P465" s="4"/>
      <c r="Q465" s="4"/>
      <c r="R465" s="4"/>
    </row>
    <row r="466" customFormat="false" ht="15" hidden="false" customHeight="false" outlineLevel="0" collapsed="false">
      <c r="A466" s="4" t="s">
        <v>1964</v>
      </c>
      <c r="B466" s="4" t="s">
        <v>1965</v>
      </c>
      <c r="C466" s="4" t="s">
        <v>379</v>
      </c>
      <c r="D466" s="4" t="s">
        <v>359</v>
      </c>
      <c r="E466" s="4" t="s">
        <v>1966</v>
      </c>
      <c r="F466" s="4" t="s">
        <v>415</v>
      </c>
      <c r="G466" s="4" t="n">
        <v>20</v>
      </c>
      <c r="H466" s="4" t="s">
        <v>359</v>
      </c>
      <c r="I466" s="22" t="n">
        <v>0</v>
      </c>
      <c r="J466" s="4" t="n">
        <v>116</v>
      </c>
      <c r="K466" s="4" t="n">
        <v>6</v>
      </c>
      <c r="L466" s="23" t="n">
        <f aca="false">IF(J466&gt;=5,K466/J466,"too few builds")</f>
        <v>0.0517241379310345</v>
      </c>
      <c r="M466" s="22" t="n">
        <v>0</v>
      </c>
      <c r="N466" s="22" t="n">
        <v>0</v>
      </c>
      <c r="O466" s="4"/>
      <c r="P466" s="4"/>
      <c r="Q466" s="4"/>
      <c r="R466" s="4" t="s">
        <v>1967</v>
      </c>
    </row>
    <row r="467" customFormat="false" ht="15" hidden="false" customHeight="false" outlineLevel="0" collapsed="false">
      <c r="A467" s="4" t="s">
        <v>1968</v>
      </c>
      <c r="B467" s="4" t="s">
        <v>1636</v>
      </c>
      <c r="C467" s="4" t="s">
        <v>379</v>
      </c>
      <c r="D467" s="4" t="s">
        <v>359</v>
      </c>
      <c r="E467" s="4" t="s">
        <v>989</v>
      </c>
      <c r="F467" s="4" t="s">
        <v>989</v>
      </c>
      <c r="G467" s="4" t="n">
        <v>50</v>
      </c>
      <c r="H467" s="4" t="s">
        <v>359</v>
      </c>
      <c r="I467" s="22" t="n">
        <v>0</v>
      </c>
      <c r="J467" s="4" t="n">
        <v>126</v>
      </c>
      <c r="K467" s="4" t="n">
        <v>10</v>
      </c>
      <c r="L467" s="23" t="n">
        <f aca="false">IF(J467&gt;=5,K467/J467,"too few builds")</f>
        <v>0.0793650793650794</v>
      </c>
      <c r="M467" s="22" t="n">
        <v>0</v>
      </c>
      <c r="N467" s="22" t="n">
        <v>0</v>
      </c>
      <c r="O467" s="4"/>
      <c r="P467" s="4"/>
      <c r="Q467" s="4"/>
      <c r="R467" s="4" t="s">
        <v>1969</v>
      </c>
    </row>
    <row r="468" customFormat="false" ht="15" hidden="false" customHeight="false" outlineLevel="0" collapsed="false">
      <c r="A468" s="4" t="s">
        <v>1970</v>
      </c>
      <c r="B468" s="4" t="s">
        <v>1636</v>
      </c>
      <c r="C468" s="4" t="s">
        <v>379</v>
      </c>
      <c r="D468" s="4" t="s">
        <v>359</v>
      </c>
      <c r="E468" s="4" t="s">
        <v>989</v>
      </c>
      <c r="F468" s="4" t="s">
        <v>989</v>
      </c>
      <c r="G468" s="4" t="n">
        <v>50</v>
      </c>
      <c r="H468" s="4" t="s">
        <v>359</v>
      </c>
      <c r="I468" s="22" t="n">
        <v>0</v>
      </c>
      <c r="J468" s="4" t="n">
        <v>126</v>
      </c>
      <c r="K468" s="4" t="n">
        <v>12</v>
      </c>
      <c r="L468" s="23" t="n">
        <f aca="false">IF(J468&gt;=5,K468/J468,"too few builds")</f>
        <v>0.0952380952380952</v>
      </c>
      <c r="M468" s="22" t="n">
        <v>0</v>
      </c>
      <c r="N468" s="22" t="n">
        <v>0</v>
      </c>
      <c r="O468" s="4"/>
      <c r="P468" s="4"/>
      <c r="Q468" s="4"/>
      <c r="R468" s="4" t="s">
        <v>1971</v>
      </c>
    </row>
    <row r="469" customFormat="false" ht="15" hidden="false" customHeight="false" outlineLevel="0" collapsed="false">
      <c r="A469" s="4" t="s">
        <v>1972</v>
      </c>
      <c r="B469" s="4" t="s">
        <v>683</v>
      </c>
      <c r="C469" s="4" t="s">
        <v>379</v>
      </c>
      <c r="D469" s="4" t="s">
        <v>359</v>
      </c>
      <c r="E469" s="4" t="s">
        <v>720</v>
      </c>
      <c r="F469" s="4" t="s">
        <v>720</v>
      </c>
      <c r="G469" s="4" t="n">
        <v>20</v>
      </c>
      <c r="H469" s="4" t="s">
        <v>359</v>
      </c>
      <c r="I469" s="22" t="n">
        <v>0.12</v>
      </c>
      <c r="J469" s="4" t="n">
        <v>443</v>
      </c>
      <c r="K469" s="4" t="n">
        <v>51</v>
      </c>
      <c r="L469" s="23" t="n">
        <f aca="false">IF(J469&gt;=5,K469/J469,"too few builds")</f>
        <v>0.115124153498871</v>
      </c>
      <c r="M469" s="22" t="n">
        <v>0</v>
      </c>
      <c r="N469" s="22" t="n">
        <v>0</v>
      </c>
      <c r="O469" s="4"/>
      <c r="P469" s="4" t="s">
        <v>1973</v>
      </c>
      <c r="Q469" s="4"/>
      <c r="R469" s="4" t="s">
        <v>1974</v>
      </c>
    </row>
    <row r="470" customFormat="false" ht="15" hidden="false" customHeight="false" outlineLevel="0" collapsed="false">
      <c r="A470" s="4" t="s">
        <v>1975</v>
      </c>
      <c r="B470" s="4" t="s">
        <v>797</v>
      </c>
      <c r="C470" s="4" t="s">
        <v>332</v>
      </c>
      <c r="D470" s="4" t="s">
        <v>369</v>
      </c>
      <c r="E470" s="4" t="s">
        <v>798</v>
      </c>
      <c r="F470" s="4" t="s">
        <v>371</v>
      </c>
      <c r="G470" s="4" t="n">
        <v>0</v>
      </c>
      <c r="H470" s="4" t="s">
        <v>369</v>
      </c>
      <c r="I470" s="22" t="n">
        <v>0</v>
      </c>
      <c r="J470" s="4" t="n">
        <v>16</v>
      </c>
      <c r="K470" s="4" t="n">
        <v>7</v>
      </c>
      <c r="L470" s="23" t="n">
        <f aca="false">IF(J470&gt;=5,K470/J470,"too few builds")</f>
        <v>0.4375</v>
      </c>
      <c r="M470" s="22" t="n">
        <v>0</v>
      </c>
      <c r="N470" s="22" t="n">
        <v>0</v>
      </c>
      <c r="O470" s="4"/>
      <c r="P470" s="4"/>
      <c r="Q470" s="4"/>
      <c r="R470" s="4" t="s">
        <v>1976</v>
      </c>
    </row>
    <row r="471" customFormat="false" ht="15" hidden="false" customHeight="false" outlineLevel="0" collapsed="false">
      <c r="A471" s="4" t="s">
        <v>1977</v>
      </c>
      <c r="B471" s="4" t="s">
        <v>912</v>
      </c>
      <c r="C471" s="4" t="s">
        <v>379</v>
      </c>
      <c r="D471" s="4" t="s">
        <v>359</v>
      </c>
      <c r="E471" s="4" t="s">
        <v>1978</v>
      </c>
      <c r="F471" s="4" t="s">
        <v>1834</v>
      </c>
      <c r="G471" s="4" t="n">
        <v>65</v>
      </c>
      <c r="H471" s="4" t="s">
        <v>359</v>
      </c>
      <c r="I471" s="22" t="n">
        <v>0.05</v>
      </c>
      <c r="J471" s="4" t="n">
        <v>61</v>
      </c>
      <c r="K471" s="4" t="n">
        <v>20</v>
      </c>
      <c r="L471" s="23" t="n">
        <f aca="false">IF(J471&gt;=5,K471/J471,"too few builds")</f>
        <v>0.327868852459016</v>
      </c>
      <c r="M471" s="22" t="n">
        <v>0</v>
      </c>
      <c r="N471" s="22" t="n">
        <v>0</v>
      </c>
      <c r="O471" s="4"/>
      <c r="P471" s="4"/>
      <c r="Q471" s="4"/>
      <c r="R471" s="4" t="s">
        <v>1979</v>
      </c>
    </row>
    <row r="472" customFormat="false" ht="15" hidden="false" customHeight="false" outlineLevel="0" collapsed="false">
      <c r="A472" s="4" t="s">
        <v>1980</v>
      </c>
      <c r="B472" s="4" t="s">
        <v>538</v>
      </c>
      <c r="C472" s="4" t="s">
        <v>379</v>
      </c>
      <c r="D472" s="4" t="s">
        <v>359</v>
      </c>
      <c r="E472" s="4" t="s">
        <v>539</v>
      </c>
      <c r="F472" s="4" t="s">
        <v>540</v>
      </c>
      <c r="G472" s="4" t="n">
        <v>45</v>
      </c>
      <c r="H472" s="4" t="s">
        <v>359</v>
      </c>
      <c r="I472" s="22" t="n">
        <v>0.12</v>
      </c>
      <c r="J472" s="4" t="n">
        <v>71</v>
      </c>
      <c r="K472" s="4" t="n">
        <v>60</v>
      </c>
      <c r="L472" s="23" t="n">
        <f aca="false">IF(J472&gt;=5,K472/J472,"too few builds")</f>
        <v>0.845070422535211</v>
      </c>
      <c r="M472" s="22" t="n">
        <v>0</v>
      </c>
      <c r="N472" s="22" t="n">
        <v>0</v>
      </c>
      <c r="O472" s="4"/>
      <c r="P472" s="4"/>
      <c r="Q472" s="4"/>
      <c r="R472" s="4" t="s">
        <v>1981</v>
      </c>
    </row>
    <row r="473" customFormat="false" ht="15" hidden="false" customHeight="false" outlineLevel="0" collapsed="false">
      <c r="A473" s="4" t="s">
        <v>1982</v>
      </c>
      <c r="B473" s="4" t="s">
        <v>571</v>
      </c>
      <c r="C473" s="4" t="s">
        <v>358</v>
      </c>
      <c r="D473" s="4" t="s">
        <v>359</v>
      </c>
      <c r="E473" s="4" t="s">
        <v>1983</v>
      </c>
      <c r="F473" s="4" t="s">
        <v>1984</v>
      </c>
      <c r="G473" s="4" t="n">
        <v>120</v>
      </c>
      <c r="H473" s="4" t="s">
        <v>359</v>
      </c>
      <c r="I473" s="22" t="n">
        <v>0.23</v>
      </c>
      <c r="J473" s="4" t="n">
        <v>120</v>
      </c>
      <c r="K473" s="4" t="n">
        <v>115</v>
      </c>
      <c r="L473" s="23" t="n">
        <f aca="false">IF(J473&gt;=5,K473/J473,"too few builds")</f>
        <v>0.958333333333333</v>
      </c>
      <c r="M473" s="22" t="n">
        <v>0</v>
      </c>
      <c r="N473" s="22" t="n">
        <v>0</v>
      </c>
      <c r="O473" s="4"/>
      <c r="P473" s="4"/>
      <c r="Q473" s="4"/>
      <c r="R473" s="4" t="s">
        <v>1985</v>
      </c>
    </row>
    <row r="474" customFormat="false" ht="15" hidden="false" customHeight="false" outlineLevel="0" collapsed="false">
      <c r="A474" s="4" t="s">
        <v>1986</v>
      </c>
      <c r="B474" s="4" t="s">
        <v>215</v>
      </c>
      <c r="C474" s="4" t="s">
        <v>332</v>
      </c>
      <c r="D474" s="4" t="s">
        <v>369</v>
      </c>
      <c r="E474" s="4" t="s">
        <v>481</v>
      </c>
      <c r="F474" s="4" t="s">
        <v>371</v>
      </c>
      <c r="G474" s="4" t="n">
        <v>0</v>
      </c>
      <c r="H474" s="4" t="s">
        <v>369</v>
      </c>
      <c r="I474" s="22" t="n">
        <v>0</v>
      </c>
      <c r="J474" s="4" t="n">
        <v>51</v>
      </c>
      <c r="K474" s="4" t="n">
        <v>21</v>
      </c>
      <c r="L474" s="23" t="n">
        <f aca="false">IF(J474&gt;=5,K474/J474,"too few builds")</f>
        <v>0.411764705882353</v>
      </c>
      <c r="M474" s="22" t="n">
        <v>0</v>
      </c>
      <c r="N474" s="22" t="n">
        <v>0</v>
      </c>
      <c r="O474" s="4"/>
      <c r="P474" s="4"/>
      <c r="Q474" s="4"/>
      <c r="R474" s="4" t="s">
        <v>1987</v>
      </c>
    </row>
    <row r="475" customFormat="false" ht="15" hidden="false" customHeight="false" outlineLevel="0" collapsed="false">
      <c r="A475" s="4" t="s">
        <v>1988</v>
      </c>
      <c r="B475" s="4" t="s">
        <v>688</v>
      </c>
      <c r="C475" s="4" t="s">
        <v>419</v>
      </c>
      <c r="D475" s="4" t="s">
        <v>359</v>
      </c>
      <c r="E475" s="4" t="s">
        <v>1451</v>
      </c>
      <c r="F475" s="4" t="s">
        <v>1451</v>
      </c>
      <c r="G475" s="4" t="n">
        <v>40</v>
      </c>
      <c r="H475" s="4" t="s">
        <v>359</v>
      </c>
      <c r="I475" s="22" t="n">
        <v>0.09</v>
      </c>
      <c r="J475" s="4" t="n">
        <v>143</v>
      </c>
      <c r="K475" s="4" t="n">
        <v>42</v>
      </c>
      <c r="L475" s="23" t="n">
        <f aca="false">IF(J475&gt;=5,K475/J475,"too few builds")</f>
        <v>0.293706293706294</v>
      </c>
      <c r="M475" s="22" t="n">
        <v>0</v>
      </c>
      <c r="N475" s="22" t="n">
        <v>0</v>
      </c>
      <c r="O475" s="4"/>
      <c r="P475" s="4"/>
      <c r="Q475" s="4"/>
      <c r="R475" s="4" t="s">
        <v>1989</v>
      </c>
    </row>
    <row r="476" customFormat="false" ht="15" hidden="false" customHeight="false" outlineLevel="0" collapsed="false">
      <c r="A476" s="4" t="s">
        <v>1990</v>
      </c>
      <c r="B476" s="4" t="s">
        <v>863</v>
      </c>
      <c r="C476" s="4" t="s">
        <v>419</v>
      </c>
      <c r="D476" s="4" t="s">
        <v>359</v>
      </c>
      <c r="E476" s="4" t="s">
        <v>1547</v>
      </c>
      <c r="F476" s="4" t="s">
        <v>474</v>
      </c>
      <c r="G476" s="4" t="n">
        <v>75</v>
      </c>
      <c r="H476" s="4" t="s">
        <v>359</v>
      </c>
      <c r="I476" s="22" t="n">
        <v>0.05</v>
      </c>
      <c r="J476" s="4" t="n">
        <v>66</v>
      </c>
      <c r="K476" s="4" t="n">
        <v>23</v>
      </c>
      <c r="L476" s="23" t="n">
        <f aca="false">IF(J476&gt;=5,K476/J476,"too few builds")</f>
        <v>0.348484848484849</v>
      </c>
      <c r="M476" s="22" t="n">
        <v>0</v>
      </c>
      <c r="N476" s="22" t="n">
        <v>0</v>
      </c>
      <c r="O476" s="4"/>
      <c r="P476" s="4"/>
      <c r="Q476" s="4" t="s">
        <v>1991</v>
      </c>
      <c r="R476" s="4" t="s">
        <v>1992</v>
      </c>
    </row>
    <row r="477" customFormat="false" ht="15" hidden="false" customHeight="false" outlineLevel="0" collapsed="false">
      <c r="A477" s="4" t="s">
        <v>1993</v>
      </c>
      <c r="B477" s="4" t="s">
        <v>863</v>
      </c>
      <c r="C477" s="4" t="s">
        <v>419</v>
      </c>
      <c r="D477" s="4" t="s">
        <v>359</v>
      </c>
      <c r="E477" s="4" t="s">
        <v>1547</v>
      </c>
      <c r="F477" s="4" t="s">
        <v>474</v>
      </c>
      <c r="G477" s="4" t="n">
        <v>75</v>
      </c>
      <c r="H477" s="4" t="s">
        <v>359</v>
      </c>
      <c r="I477" s="22" t="n">
        <v>0.05</v>
      </c>
      <c r="J477" s="4" t="n">
        <v>66</v>
      </c>
      <c r="K477" s="4" t="n">
        <v>25</v>
      </c>
      <c r="L477" s="23" t="n">
        <f aca="false">IF(J477&gt;=5,K477/J477,"too few builds")</f>
        <v>0.378787878787879</v>
      </c>
      <c r="M477" s="22" t="n">
        <v>0</v>
      </c>
      <c r="N477" s="22" t="n">
        <v>0</v>
      </c>
      <c r="O477" s="4"/>
      <c r="P477" s="4"/>
      <c r="Q477" s="4" t="s">
        <v>1994</v>
      </c>
      <c r="R477" s="4" t="s">
        <v>1995</v>
      </c>
    </row>
    <row r="478" customFormat="false" ht="15" hidden="false" customHeight="false" outlineLevel="0" collapsed="false">
      <c r="A478" s="4" t="s">
        <v>1996</v>
      </c>
      <c r="B478" s="4" t="s">
        <v>863</v>
      </c>
      <c r="C478" s="4" t="s">
        <v>419</v>
      </c>
      <c r="D478" s="4" t="s">
        <v>359</v>
      </c>
      <c r="E478" s="4" t="s">
        <v>1547</v>
      </c>
      <c r="F478" s="4" t="s">
        <v>474</v>
      </c>
      <c r="G478" s="4" t="n">
        <v>75</v>
      </c>
      <c r="H478" s="4" t="s">
        <v>359</v>
      </c>
      <c r="I478" s="22" t="n">
        <v>0.03</v>
      </c>
      <c r="J478" s="4" t="n">
        <v>66</v>
      </c>
      <c r="K478" s="4" t="n">
        <v>17</v>
      </c>
      <c r="L478" s="23" t="n">
        <f aca="false">IF(J478&gt;=5,K478/J478,"too few builds")</f>
        <v>0.257575757575758</v>
      </c>
      <c r="M478" s="22" t="n">
        <v>0</v>
      </c>
      <c r="N478" s="22" t="n">
        <v>0</v>
      </c>
      <c r="O478" s="4"/>
      <c r="P478" s="4"/>
      <c r="Q478" s="4" t="s">
        <v>1997</v>
      </c>
      <c r="R478" s="4" t="s">
        <v>1998</v>
      </c>
    </row>
    <row r="479" customFormat="false" ht="15" hidden="false" customHeight="false" outlineLevel="0" collapsed="false">
      <c r="A479" s="4" t="s">
        <v>1999</v>
      </c>
      <c r="B479" s="4" t="s">
        <v>683</v>
      </c>
      <c r="C479" s="4" t="s">
        <v>379</v>
      </c>
      <c r="D479" s="4" t="s">
        <v>359</v>
      </c>
      <c r="E479" s="4" t="s">
        <v>1670</v>
      </c>
      <c r="F479" s="4" t="s">
        <v>371</v>
      </c>
      <c r="G479" s="4" t="n">
        <v>0</v>
      </c>
      <c r="H479" s="4" t="s">
        <v>369</v>
      </c>
      <c r="I479" s="22" t="n">
        <v>0.48</v>
      </c>
      <c r="J479" s="4" t="n">
        <v>500</v>
      </c>
      <c r="K479" s="4" t="n">
        <v>247</v>
      </c>
      <c r="L479" s="23" t="n">
        <f aca="false">IF(J479&gt;=5,K479/J479,"too few builds")</f>
        <v>0.494</v>
      </c>
      <c r="M479" s="22" t="n">
        <v>0</v>
      </c>
      <c r="N479" s="22" t="n">
        <v>0</v>
      </c>
      <c r="O479" s="4"/>
      <c r="P479" s="4"/>
      <c r="Q479" s="4"/>
      <c r="R479" s="4" t="s">
        <v>2000</v>
      </c>
    </row>
    <row r="480" customFormat="false" ht="15" hidden="false" customHeight="false" outlineLevel="0" collapsed="false">
      <c r="A480" s="4" t="s">
        <v>2001</v>
      </c>
      <c r="B480" s="4" t="s">
        <v>538</v>
      </c>
      <c r="C480" s="4" t="s">
        <v>358</v>
      </c>
      <c r="D480" s="4" t="s">
        <v>359</v>
      </c>
      <c r="E480" s="4" t="s">
        <v>2002</v>
      </c>
      <c r="F480" s="4" t="s">
        <v>2003</v>
      </c>
      <c r="G480" s="4" t="n">
        <v>70</v>
      </c>
      <c r="H480" s="4" t="s">
        <v>359</v>
      </c>
      <c r="I480" s="22" t="n">
        <v>0.11</v>
      </c>
      <c r="J480" s="4" t="n">
        <v>66</v>
      </c>
      <c r="K480" s="4" t="n">
        <v>56</v>
      </c>
      <c r="L480" s="23" t="n">
        <f aca="false">IF(J480&gt;=5,K480/J480,"too few builds")</f>
        <v>0.848484848484849</v>
      </c>
      <c r="M480" s="22" t="n">
        <v>0.05</v>
      </c>
      <c r="N480" s="22" t="n">
        <v>0</v>
      </c>
      <c r="O480" s="4"/>
      <c r="P480" s="4"/>
      <c r="Q480" s="4"/>
      <c r="R480" s="4" t="s">
        <v>2004</v>
      </c>
    </row>
    <row r="481" customFormat="false" ht="15" hidden="false" customHeight="false" outlineLevel="0" collapsed="false">
      <c r="A481" s="4" t="s">
        <v>2005</v>
      </c>
      <c r="B481" s="4" t="s">
        <v>552</v>
      </c>
      <c r="C481" s="4" t="s">
        <v>379</v>
      </c>
      <c r="D481" s="4" t="s">
        <v>359</v>
      </c>
      <c r="E481" s="4" t="s">
        <v>1222</v>
      </c>
      <c r="F481" s="4" t="s">
        <v>1222</v>
      </c>
      <c r="G481" s="4" t="n">
        <v>65</v>
      </c>
      <c r="H481" s="4" t="s">
        <v>359</v>
      </c>
      <c r="I481" s="22" t="n">
        <v>0.07</v>
      </c>
      <c r="J481" s="4" t="n">
        <v>44</v>
      </c>
      <c r="K481" s="4" t="n">
        <v>32</v>
      </c>
      <c r="L481" s="23" t="n">
        <f aca="false">IF(J481&gt;=5,K481/J481,"too few builds")</f>
        <v>0.727272727272727</v>
      </c>
      <c r="M481" s="22" t="n">
        <v>0</v>
      </c>
      <c r="N481" s="22" t="n">
        <v>0</v>
      </c>
      <c r="O481" s="4"/>
      <c r="P481" s="4"/>
      <c r="Q481" s="4"/>
      <c r="R481" s="4" t="s">
        <v>2006</v>
      </c>
    </row>
    <row r="482" customFormat="false" ht="15" hidden="false" customHeight="false" outlineLevel="0" collapsed="false">
      <c r="A482" s="4" t="s">
        <v>2007</v>
      </c>
      <c r="B482" s="4" t="s">
        <v>1261</v>
      </c>
      <c r="C482" s="4" t="s">
        <v>332</v>
      </c>
      <c r="D482" s="4" t="s">
        <v>369</v>
      </c>
      <c r="E482" s="4" t="s">
        <v>1262</v>
      </c>
      <c r="F482" s="4" t="s">
        <v>371</v>
      </c>
      <c r="G482" s="4" t="n">
        <v>0</v>
      </c>
      <c r="H482" s="4" t="s">
        <v>369</v>
      </c>
      <c r="I482" s="22" t="n">
        <v>0</v>
      </c>
      <c r="J482" s="4" t="n">
        <v>61</v>
      </c>
      <c r="K482" s="4" t="n">
        <v>24</v>
      </c>
      <c r="L482" s="23" t="n">
        <f aca="false">IF(J482&gt;=5,K482/J482,"too few builds")</f>
        <v>0.39344262295082</v>
      </c>
      <c r="M482" s="22" t="n">
        <v>0</v>
      </c>
      <c r="N482" s="22" t="n">
        <v>0</v>
      </c>
      <c r="O482" s="4"/>
      <c r="P482" s="4"/>
      <c r="Q482" s="4"/>
      <c r="R482" s="4" t="s">
        <v>2008</v>
      </c>
    </row>
    <row r="483" customFormat="false" ht="15" hidden="false" customHeight="false" outlineLevel="0" collapsed="false">
      <c r="A483" s="4" t="s">
        <v>2009</v>
      </c>
      <c r="B483" s="4" t="s">
        <v>2010</v>
      </c>
      <c r="C483" s="4" t="s">
        <v>379</v>
      </c>
      <c r="D483" s="4" t="s">
        <v>359</v>
      </c>
      <c r="E483" s="4" t="s">
        <v>2011</v>
      </c>
      <c r="F483" s="4" t="s">
        <v>2012</v>
      </c>
      <c r="G483" s="4" t="n">
        <v>170</v>
      </c>
      <c r="H483" s="4" t="s">
        <v>359</v>
      </c>
      <c r="I483" s="22" t="n">
        <v>0</v>
      </c>
      <c r="J483" s="4" t="n">
        <v>2</v>
      </c>
      <c r="K483" s="4" t="n">
        <v>0</v>
      </c>
      <c r="L483" s="23" t="str">
        <f aca="false">IF(J483&gt;=5,K483/J483,"too few builds")</f>
        <v>too few builds</v>
      </c>
      <c r="M483" s="22" t="n">
        <v>0</v>
      </c>
      <c r="N483" s="22" t="n">
        <v>0</v>
      </c>
      <c r="O483" s="4"/>
      <c r="P483" s="4"/>
      <c r="Q483" s="4"/>
      <c r="R483" s="4" t="s">
        <v>2013</v>
      </c>
    </row>
    <row r="484" customFormat="false" ht="15" hidden="false" customHeight="false" outlineLevel="0" collapsed="false">
      <c r="A484" s="4" t="s">
        <v>2014</v>
      </c>
      <c r="B484" s="4" t="s">
        <v>215</v>
      </c>
      <c r="C484" s="4" t="s">
        <v>332</v>
      </c>
      <c r="D484" s="4" t="s">
        <v>369</v>
      </c>
      <c r="E484" s="4" t="s">
        <v>481</v>
      </c>
      <c r="F484" s="4" t="s">
        <v>371</v>
      </c>
      <c r="G484" s="4" t="n">
        <v>0</v>
      </c>
      <c r="H484" s="4" t="s">
        <v>369</v>
      </c>
      <c r="I484" s="22" t="n">
        <v>0</v>
      </c>
      <c r="J484" s="4" t="n">
        <v>51</v>
      </c>
      <c r="K484" s="4" t="n">
        <v>21</v>
      </c>
      <c r="L484" s="23" t="n">
        <f aca="false">IF(J484&gt;=5,K484/J484,"too few builds")</f>
        <v>0.411764705882353</v>
      </c>
      <c r="M484" s="22" t="n">
        <v>0</v>
      </c>
      <c r="N484" s="22" t="n">
        <v>0</v>
      </c>
      <c r="O484" s="4"/>
      <c r="P484" s="4"/>
      <c r="Q484" s="4"/>
      <c r="R484" s="4" t="s">
        <v>2015</v>
      </c>
    </row>
    <row r="485" customFormat="false" ht="15" hidden="false" customHeight="false" outlineLevel="0" collapsed="false">
      <c r="A485" s="4" t="s">
        <v>1819</v>
      </c>
      <c r="B485" s="4" t="s">
        <v>1128</v>
      </c>
      <c r="C485" s="4" t="s">
        <v>419</v>
      </c>
      <c r="D485" s="4" t="s">
        <v>359</v>
      </c>
      <c r="E485" s="4" t="s">
        <v>599</v>
      </c>
      <c r="F485" s="4" t="s">
        <v>599</v>
      </c>
      <c r="G485" s="4" t="n">
        <v>25</v>
      </c>
      <c r="H485" s="4" t="s">
        <v>359</v>
      </c>
      <c r="I485" s="22" t="n">
        <v>0.68</v>
      </c>
      <c r="J485" s="4" t="n">
        <v>409</v>
      </c>
      <c r="K485" s="4" t="n">
        <v>327</v>
      </c>
      <c r="L485" s="23" t="n">
        <f aca="false">IF(J485&gt;=5,K485/J485,"too few builds")</f>
        <v>0.799511002444988</v>
      </c>
      <c r="M485" s="22" t="n">
        <v>0</v>
      </c>
      <c r="N485" s="22" t="n">
        <v>0</v>
      </c>
      <c r="O485" s="4"/>
      <c r="P485" s="4"/>
      <c r="Q485" s="4" t="s">
        <v>2016</v>
      </c>
      <c r="R485" s="4" t="s">
        <v>2017</v>
      </c>
    </row>
    <row r="486" customFormat="false" ht="15" hidden="false" customHeight="false" outlineLevel="0" collapsed="false">
      <c r="A486" s="4" t="s">
        <v>2018</v>
      </c>
      <c r="B486" s="4" t="s">
        <v>2019</v>
      </c>
      <c r="C486" s="4" t="s">
        <v>379</v>
      </c>
      <c r="D486" s="4" t="s">
        <v>359</v>
      </c>
      <c r="E486" s="4" t="s">
        <v>585</v>
      </c>
      <c r="F486" s="4" t="s">
        <v>371</v>
      </c>
      <c r="G486" s="4" t="n">
        <v>0</v>
      </c>
      <c r="H486" s="4" t="s">
        <v>369</v>
      </c>
      <c r="I486" s="22" t="n">
        <v>0.03</v>
      </c>
      <c r="J486" s="4" t="n">
        <v>500</v>
      </c>
      <c r="K486" s="4" t="n">
        <v>15</v>
      </c>
      <c r="L486" s="23" t="n">
        <f aca="false">IF(J486&gt;=5,K486/J486,"too few builds")</f>
        <v>0.03</v>
      </c>
      <c r="M486" s="22" t="n">
        <v>0</v>
      </c>
      <c r="N486" s="22" t="n">
        <v>0</v>
      </c>
      <c r="O486" s="4"/>
      <c r="P486" s="4"/>
      <c r="Q486" s="4"/>
      <c r="R486" s="4" t="s">
        <v>2020</v>
      </c>
    </row>
    <row r="487" customFormat="false" ht="15" hidden="false" customHeight="false" outlineLevel="0" collapsed="false">
      <c r="A487" s="4" t="s">
        <v>2021</v>
      </c>
      <c r="B487" s="4" t="s">
        <v>548</v>
      </c>
      <c r="C487" s="4" t="s">
        <v>419</v>
      </c>
      <c r="D487" s="4" t="s">
        <v>359</v>
      </c>
      <c r="E487" s="4" t="s">
        <v>2022</v>
      </c>
      <c r="F487" s="4" t="s">
        <v>2022</v>
      </c>
      <c r="G487" s="4" t="n">
        <v>135</v>
      </c>
      <c r="H487" s="4" t="s">
        <v>359</v>
      </c>
      <c r="I487" s="22" t="n">
        <v>0</v>
      </c>
      <c r="J487" s="4" t="n">
        <v>12</v>
      </c>
      <c r="K487" s="4" t="n">
        <v>9</v>
      </c>
      <c r="L487" s="23" t="n">
        <f aca="false">IF(J487&gt;=5,K487/J487,"too few builds")</f>
        <v>0.75</v>
      </c>
      <c r="M487" s="22" t="n">
        <v>0</v>
      </c>
      <c r="N487" s="22" t="n">
        <v>0</v>
      </c>
      <c r="O487" s="4"/>
      <c r="P487" s="4"/>
      <c r="Q487" s="4"/>
      <c r="R487" s="4"/>
    </row>
    <row r="488" customFormat="false" ht="15" hidden="false" customHeight="false" outlineLevel="0" collapsed="false">
      <c r="A488" s="4" t="s">
        <v>2023</v>
      </c>
      <c r="B488" s="4" t="s">
        <v>383</v>
      </c>
      <c r="C488" s="4" t="s">
        <v>419</v>
      </c>
      <c r="D488" s="4" t="s">
        <v>359</v>
      </c>
      <c r="E488" s="4" t="s">
        <v>1674</v>
      </c>
      <c r="F488" s="4" t="s">
        <v>1674</v>
      </c>
      <c r="G488" s="4" t="n">
        <v>50</v>
      </c>
      <c r="H488" s="4" t="s">
        <v>359</v>
      </c>
      <c r="I488" s="22" t="n">
        <v>0.09</v>
      </c>
      <c r="J488" s="4" t="n">
        <v>80</v>
      </c>
      <c r="K488" s="4" t="n">
        <v>42</v>
      </c>
      <c r="L488" s="23" t="n">
        <f aca="false">IF(J488&gt;=5,K488/J488,"too few builds")</f>
        <v>0.525</v>
      </c>
      <c r="M488" s="22" t="n">
        <v>0.15</v>
      </c>
      <c r="N488" s="22" t="n">
        <v>0</v>
      </c>
      <c r="O488" s="4"/>
      <c r="P488" s="4" t="s">
        <v>2024</v>
      </c>
      <c r="Q488" s="4"/>
      <c r="R488" s="4" t="s">
        <v>2025</v>
      </c>
    </row>
    <row r="489" customFormat="false" ht="15" hidden="false" customHeight="false" outlineLevel="0" collapsed="false">
      <c r="A489" s="4" t="s">
        <v>2026</v>
      </c>
      <c r="B489" s="4" t="s">
        <v>374</v>
      </c>
      <c r="C489" s="4" t="s">
        <v>332</v>
      </c>
      <c r="D489" s="4" t="s">
        <v>369</v>
      </c>
      <c r="E489" s="4" t="s">
        <v>375</v>
      </c>
      <c r="F489" s="4" t="s">
        <v>371</v>
      </c>
      <c r="G489" s="4" t="n">
        <v>0</v>
      </c>
      <c r="H489" s="4" t="s">
        <v>369</v>
      </c>
      <c r="I489" s="22" t="n">
        <v>0</v>
      </c>
      <c r="J489" s="4" t="n">
        <v>51</v>
      </c>
      <c r="K489" s="4" t="n">
        <v>20</v>
      </c>
      <c r="L489" s="23" t="n">
        <f aca="false">IF(J489&gt;=5,K489/J489,"too few builds")</f>
        <v>0.392156862745098</v>
      </c>
      <c r="M489" s="22" t="n">
        <v>0</v>
      </c>
      <c r="N489" s="22" t="n">
        <v>0</v>
      </c>
      <c r="O489" s="4"/>
      <c r="P489" s="4"/>
      <c r="Q489" s="4"/>
      <c r="R489" s="4" t="s">
        <v>2027</v>
      </c>
    </row>
    <row r="490" customFormat="false" ht="15" hidden="false" customHeight="false" outlineLevel="0" collapsed="false">
      <c r="A490" s="4" t="s">
        <v>2028</v>
      </c>
      <c r="B490" s="4" t="s">
        <v>1818</v>
      </c>
      <c r="C490" s="4" t="s">
        <v>419</v>
      </c>
      <c r="D490" s="4" t="s">
        <v>359</v>
      </c>
      <c r="E490" s="4" t="s">
        <v>1207</v>
      </c>
      <c r="F490" s="4" t="s">
        <v>1207</v>
      </c>
      <c r="G490" s="4" t="n">
        <v>20</v>
      </c>
      <c r="H490" s="4" t="s">
        <v>359</v>
      </c>
      <c r="I490" s="22" t="n">
        <v>0.12</v>
      </c>
      <c r="J490" s="4" t="n">
        <v>416</v>
      </c>
      <c r="K490" s="4" t="n">
        <v>67</v>
      </c>
      <c r="L490" s="23" t="n">
        <f aca="false">IF(J490&gt;=5,K490/J490,"too few builds")</f>
        <v>0.161057692307692</v>
      </c>
      <c r="M490" s="22" t="n">
        <v>0</v>
      </c>
      <c r="N490" s="22" t="n">
        <v>0</v>
      </c>
      <c r="O490" s="4"/>
      <c r="P490" s="4"/>
      <c r="Q490" s="4" t="s">
        <v>1819</v>
      </c>
      <c r="R490" s="4" t="s">
        <v>2029</v>
      </c>
    </row>
    <row r="491" customFormat="false" ht="15" hidden="false" customHeight="false" outlineLevel="0" collapsed="false">
      <c r="A491" s="4" t="s">
        <v>2030</v>
      </c>
      <c r="B491" s="4" t="s">
        <v>667</v>
      </c>
      <c r="C491" s="4" t="s">
        <v>419</v>
      </c>
      <c r="D491" s="4" t="s">
        <v>359</v>
      </c>
      <c r="E491" s="4" t="s">
        <v>2031</v>
      </c>
      <c r="F491" s="4" t="s">
        <v>669</v>
      </c>
      <c r="G491" s="4" t="n">
        <v>25</v>
      </c>
      <c r="H491" s="4" t="s">
        <v>359</v>
      </c>
      <c r="I491" s="22" t="n">
        <v>0.15</v>
      </c>
      <c r="J491" s="4" t="n">
        <v>106</v>
      </c>
      <c r="K491" s="4" t="n">
        <v>65</v>
      </c>
      <c r="L491" s="23" t="n">
        <f aca="false">IF(J491&gt;=5,K491/J491,"too few builds")</f>
        <v>0.613207547169811</v>
      </c>
      <c r="M491" s="22" t="n">
        <v>0</v>
      </c>
      <c r="N491" s="22" t="n">
        <v>0</v>
      </c>
      <c r="O491" s="4"/>
      <c r="P491" s="4"/>
      <c r="Q491" s="4"/>
      <c r="R491" s="4" t="s">
        <v>2032</v>
      </c>
    </row>
    <row r="492" customFormat="false" ht="15" hidden="false" customHeight="false" outlineLevel="0" collapsed="false">
      <c r="A492" s="4" t="s">
        <v>2033</v>
      </c>
      <c r="B492" s="4" t="s">
        <v>1119</v>
      </c>
      <c r="C492" s="4" t="s">
        <v>332</v>
      </c>
      <c r="D492" s="4" t="s">
        <v>369</v>
      </c>
      <c r="E492" s="4" t="s">
        <v>1120</v>
      </c>
      <c r="F492" s="4" t="s">
        <v>371</v>
      </c>
      <c r="G492" s="4" t="n">
        <v>0</v>
      </c>
      <c r="H492" s="4" t="s">
        <v>369</v>
      </c>
      <c r="I492" s="22" t="n">
        <v>0</v>
      </c>
      <c r="J492" s="4" t="n">
        <v>25</v>
      </c>
      <c r="K492" s="4" t="n">
        <v>6</v>
      </c>
      <c r="L492" s="23" t="n">
        <f aca="false">IF(J492&gt;=5,K492/J492,"too few builds")</f>
        <v>0.24</v>
      </c>
      <c r="M492" s="22" t="n">
        <v>0</v>
      </c>
      <c r="N492" s="22" t="n">
        <v>0</v>
      </c>
      <c r="O492" s="4"/>
      <c r="P492" s="4"/>
      <c r="Q492" s="4"/>
      <c r="R492" s="4" t="s">
        <v>2034</v>
      </c>
    </row>
    <row r="493" customFormat="false" ht="15" hidden="false" customHeight="false" outlineLevel="0" collapsed="false">
      <c r="A493" s="4" t="s">
        <v>2035</v>
      </c>
      <c r="B493" s="4" t="s">
        <v>1119</v>
      </c>
      <c r="C493" s="4" t="s">
        <v>332</v>
      </c>
      <c r="D493" s="4" t="s">
        <v>369</v>
      </c>
      <c r="E493" s="4" t="s">
        <v>1120</v>
      </c>
      <c r="F493" s="4" t="s">
        <v>371</v>
      </c>
      <c r="G493" s="4" t="n">
        <v>0</v>
      </c>
      <c r="H493" s="4" t="s">
        <v>369</v>
      </c>
      <c r="I493" s="22" t="n">
        <v>0</v>
      </c>
      <c r="J493" s="4" t="n">
        <v>25</v>
      </c>
      <c r="K493" s="4" t="n">
        <v>6</v>
      </c>
      <c r="L493" s="23" t="n">
        <f aca="false">IF(J493&gt;=5,K493/J493,"too few builds")</f>
        <v>0.24</v>
      </c>
      <c r="M493" s="22" t="n">
        <v>0</v>
      </c>
      <c r="N493" s="22" t="n">
        <v>0</v>
      </c>
      <c r="O493" s="4"/>
      <c r="P493" s="4"/>
      <c r="Q493" s="4"/>
      <c r="R493" s="4" t="s">
        <v>2036</v>
      </c>
    </row>
    <row r="494" customFormat="false" ht="15" hidden="false" customHeight="false" outlineLevel="0" collapsed="false">
      <c r="A494" s="4" t="s">
        <v>2037</v>
      </c>
      <c r="B494" s="4" t="s">
        <v>1119</v>
      </c>
      <c r="C494" s="4" t="s">
        <v>332</v>
      </c>
      <c r="D494" s="4" t="s">
        <v>369</v>
      </c>
      <c r="E494" s="4" t="s">
        <v>1120</v>
      </c>
      <c r="F494" s="4" t="s">
        <v>371</v>
      </c>
      <c r="G494" s="4" t="n">
        <v>0</v>
      </c>
      <c r="H494" s="4" t="s">
        <v>369</v>
      </c>
      <c r="I494" s="22" t="n">
        <v>0</v>
      </c>
      <c r="J494" s="4" t="n">
        <v>25</v>
      </c>
      <c r="K494" s="4" t="n">
        <v>6</v>
      </c>
      <c r="L494" s="23" t="n">
        <f aca="false">IF(J494&gt;=5,K494/J494,"too few builds")</f>
        <v>0.24</v>
      </c>
      <c r="M494" s="22" t="n">
        <v>0</v>
      </c>
      <c r="N494" s="22" t="n">
        <v>0</v>
      </c>
      <c r="O494" s="4"/>
      <c r="P494" s="4"/>
      <c r="Q494" s="4"/>
      <c r="R494" s="4" t="s">
        <v>2038</v>
      </c>
    </row>
    <row r="495" customFormat="false" ht="15" hidden="false" customHeight="false" outlineLevel="0" collapsed="false">
      <c r="A495" s="4" t="s">
        <v>2039</v>
      </c>
      <c r="B495" s="4" t="s">
        <v>383</v>
      </c>
      <c r="C495" s="4" t="s">
        <v>379</v>
      </c>
      <c r="D495" s="4" t="s">
        <v>359</v>
      </c>
      <c r="E495" s="4" t="s">
        <v>1832</v>
      </c>
      <c r="F495" s="4" t="s">
        <v>1832</v>
      </c>
      <c r="G495" s="4" t="n">
        <v>40</v>
      </c>
      <c r="H495" s="4" t="s">
        <v>359</v>
      </c>
      <c r="I495" s="22" t="n">
        <v>0.08</v>
      </c>
      <c r="J495" s="4" t="n">
        <v>81</v>
      </c>
      <c r="K495" s="4" t="n">
        <v>41</v>
      </c>
      <c r="L495" s="23" t="n">
        <f aca="false">IF(J495&gt;=5,K495/J495,"too few builds")</f>
        <v>0.506172839506173</v>
      </c>
      <c r="M495" s="22" t="n">
        <v>0</v>
      </c>
      <c r="N495" s="22" t="n">
        <v>0</v>
      </c>
      <c r="O495" s="4"/>
      <c r="P495" s="4"/>
      <c r="Q495" s="4"/>
      <c r="R495" s="4" t="s">
        <v>2040</v>
      </c>
    </row>
    <row r="496" customFormat="false" ht="15" hidden="false" customHeight="false" outlineLevel="0" collapsed="false">
      <c r="A496" s="4" t="s">
        <v>2041</v>
      </c>
      <c r="B496" s="4" t="s">
        <v>855</v>
      </c>
      <c r="C496" s="4" t="s">
        <v>379</v>
      </c>
      <c r="D496" s="4" t="s">
        <v>359</v>
      </c>
      <c r="E496" s="4" t="s">
        <v>2042</v>
      </c>
      <c r="F496" s="4" t="s">
        <v>2042</v>
      </c>
      <c r="G496" s="4" t="n">
        <v>5</v>
      </c>
      <c r="H496" s="4" t="s">
        <v>359</v>
      </c>
      <c r="I496" s="22" t="n">
        <v>0.54</v>
      </c>
      <c r="J496" s="4" t="n">
        <v>433</v>
      </c>
      <c r="K496" s="4" t="n">
        <v>270</v>
      </c>
      <c r="L496" s="23" t="n">
        <f aca="false">IF(J496&gt;=5,K496/J496,"too few builds")</f>
        <v>0.623556581986143</v>
      </c>
      <c r="M496" s="22" t="n">
        <v>0</v>
      </c>
      <c r="N496" s="22" t="n">
        <v>0</v>
      </c>
      <c r="O496" s="4"/>
      <c r="P496" s="4"/>
      <c r="Q496" s="4"/>
      <c r="R496" s="4" t="s">
        <v>2043</v>
      </c>
    </row>
    <row r="497" customFormat="false" ht="15" hidden="false" customHeight="false" outlineLevel="0" collapsed="false">
      <c r="A497" s="4" t="s">
        <v>2044</v>
      </c>
      <c r="B497" s="4" t="s">
        <v>1145</v>
      </c>
      <c r="C497" s="4" t="s">
        <v>358</v>
      </c>
      <c r="D497" s="4" t="s">
        <v>359</v>
      </c>
      <c r="E497" s="4" t="s">
        <v>2045</v>
      </c>
      <c r="F497" s="4" t="s">
        <v>2045</v>
      </c>
      <c r="G497" s="4" t="n">
        <v>100</v>
      </c>
      <c r="H497" s="4" t="s">
        <v>359</v>
      </c>
      <c r="I497" s="22" t="n">
        <v>0</v>
      </c>
      <c r="J497" s="4" t="n">
        <v>49</v>
      </c>
      <c r="K497" s="4" t="n">
        <v>8</v>
      </c>
      <c r="L497" s="23" t="n">
        <f aca="false">IF(J497&gt;=5,K497/J497,"too few builds")</f>
        <v>0.163265306122449</v>
      </c>
      <c r="M497" s="22" t="n">
        <v>0</v>
      </c>
      <c r="N497" s="22" t="n">
        <v>0</v>
      </c>
      <c r="O497" s="4"/>
      <c r="P497" s="4"/>
      <c r="Q497" s="4"/>
      <c r="R497" s="4"/>
    </row>
    <row r="498" customFormat="false" ht="15" hidden="false" customHeight="false" outlineLevel="0" collapsed="false">
      <c r="A498" s="4" t="s">
        <v>2046</v>
      </c>
      <c r="B498" s="4" t="s">
        <v>634</v>
      </c>
      <c r="C498" s="4" t="s">
        <v>379</v>
      </c>
      <c r="D498" s="4" t="s">
        <v>359</v>
      </c>
      <c r="E498" s="4" t="s">
        <v>2047</v>
      </c>
      <c r="F498" s="4" t="s">
        <v>2047</v>
      </c>
      <c r="G498" s="4" t="n">
        <v>80</v>
      </c>
      <c r="H498" s="4" t="s">
        <v>359</v>
      </c>
      <c r="I498" s="22" t="n">
        <v>0</v>
      </c>
      <c r="J498" s="4" t="n">
        <v>12</v>
      </c>
      <c r="K498" s="4" t="n">
        <v>4</v>
      </c>
      <c r="L498" s="23" t="n">
        <f aca="false">IF(J498&gt;=5,K498/J498,"too few builds")</f>
        <v>0.333333333333333</v>
      </c>
      <c r="M498" s="22" t="n">
        <v>0</v>
      </c>
      <c r="N498" s="22" t="n">
        <v>0</v>
      </c>
      <c r="O498" s="4"/>
      <c r="P498" s="4" t="s">
        <v>2048</v>
      </c>
      <c r="Q498" s="4"/>
      <c r="R498" s="4"/>
    </row>
    <row r="499" customFormat="false" ht="15" hidden="false" customHeight="false" outlineLevel="0" collapsed="false">
      <c r="A499" s="4" t="s">
        <v>2049</v>
      </c>
      <c r="B499" s="4" t="s">
        <v>2050</v>
      </c>
      <c r="C499" s="4" t="s">
        <v>379</v>
      </c>
      <c r="D499" s="4" t="s">
        <v>359</v>
      </c>
      <c r="E499" s="4" t="s">
        <v>2051</v>
      </c>
      <c r="F499" s="4" t="s">
        <v>2051</v>
      </c>
      <c r="G499" s="4" t="n">
        <v>75</v>
      </c>
      <c r="H499" s="4" t="s">
        <v>359</v>
      </c>
      <c r="I499" s="22" t="n">
        <v>0</v>
      </c>
      <c r="J499" s="4" t="n">
        <v>30</v>
      </c>
      <c r="K499" s="4" t="n">
        <v>11</v>
      </c>
      <c r="L499" s="23" t="n">
        <f aca="false">IF(J499&gt;=5,K499/J499,"too few builds")</f>
        <v>0.366666666666667</v>
      </c>
      <c r="M499" s="22" t="n">
        <v>0</v>
      </c>
      <c r="N499" s="22" t="n">
        <v>0</v>
      </c>
      <c r="O499" s="4"/>
      <c r="P499" s="4" t="s">
        <v>576</v>
      </c>
      <c r="Q499" s="4"/>
      <c r="R499" s="4" t="s">
        <v>2052</v>
      </c>
    </row>
    <row r="500" customFormat="false" ht="15" hidden="false" customHeight="false" outlineLevel="0" collapsed="false">
      <c r="A500" s="4" t="s">
        <v>2053</v>
      </c>
      <c r="B500" s="4" t="s">
        <v>543</v>
      </c>
      <c r="C500" s="4" t="s">
        <v>379</v>
      </c>
      <c r="D500" s="4" t="s">
        <v>359</v>
      </c>
      <c r="E500" s="4" t="s">
        <v>2054</v>
      </c>
      <c r="F500" s="4" t="s">
        <v>2055</v>
      </c>
      <c r="G500" s="4" t="n">
        <v>200</v>
      </c>
      <c r="H500" s="4" t="s">
        <v>359</v>
      </c>
      <c r="I500" s="22" t="n">
        <v>0</v>
      </c>
      <c r="J500" s="4" t="n">
        <v>8</v>
      </c>
      <c r="K500" s="4" t="n">
        <v>5</v>
      </c>
      <c r="L500" s="23" t="n">
        <f aca="false">IF(J500&gt;=5,K500/J500,"too few builds")</f>
        <v>0.625</v>
      </c>
      <c r="M500" s="22" t="n">
        <v>0</v>
      </c>
      <c r="N500" s="22" t="n">
        <v>0</v>
      </c>
      <c r="O500" s="4"/>
      <c r="P500" s="4"/>
      <c r="Q500" s="4"/>
      <c r="R500" s="4"/>
    </row>
    <row r="501" customFormat="false" ht="15" hidden="false" customHeight="false" outlineLevel="0" collapsed="false">
      <c r="A501" s="4" t="s">
        <v>2056</v>
      </c>
      <c r="B501" s="4" t="s">
        <v>552</v>
      </c>
      <c r="C501" s="4" t="s">
        <v>379</v>
      </c>
      <c r="D501" s="4" t="s">
        <v>359</v>
      </c>
      <c r="E501" s="4" t="s">
        <v>2057</v>
      </c>
      <c r="F501" s="4" t="s">
        <v>1222</v>
      </c>
      <c r="G501" s="4" t="n">
        <v>65</v>
      </c>
      <c r="H501" s="4" t="s">
        <v>359</v>
      </c>
      <c r="I501" s="22" t="n">
        <v>0.07</v>
      </c>
      <c r="J501" s="4" t="n">
        <v>44</v>
      </c>
      <c r="K501" s="4" t="n">
        <v>32</v>
      </c>
      <c r="L501" s="23" t="n">
        <f aca="false">IF(J501&gt;=5,K501/J501,"too few builds")</f>
        <v>0.727272727272727</v>
      </c>
      <c r="M501" s="22" t="n">
        <v>0</v>
      </c>
      <c r="N501" s="22" t="n">
        <v>0</v>
      </c>
      <c r="O501" s="4"/>
      <c r="P501" s="4"/>
      <c r="Q501" s="4"/>
      <c r="R501" s="4" t="s">
        <v>2058</v>
      </c>
    </row>
    <row r="502" customFormat="false" ht="15" hidden="false" customHeight="false" outlineLevel="0" collapsed="false">
      <c r="A502" s="4" t="s">
        <v>2059</v>
      </c>
      <c r="B502" s="4" t="s">
        <v>608</v>
      </c>
      <c r="C502" s="4" t="s">
        <v>379</v>
      </c>
      <c r="D502" s="4" t="s">
        <v>359</v>
      </c>
      <c r="E502" s="4" t="s">
        <v>2060</v>
      </c>
      <c r="F502" s="4" t="s">
        <v>2061</v>
      </c>
      <c r="G502" s="4" t="n">
        <v>55</v>
      </c>
      <c r="H502" s="4" t="s">
        <v>359</v>
      </c>
      <c r="I502" s="22" t="n">
        <v>0.07</v>
      </c>
      <c r="J502" s="4" t="n">
        <v>55</v>
      </c>
      <c r="K502" s="4" t="n">
        <v>39</v>
      </c>
      <c r="L502" s="23" t="n">
        <f aca="false">IF(J502&gt;=5,K502/J502,"too few builds")</f>
        <v>0.709090909090909</v>
      </c>
      <c r="M502" s="22" t="n">
        <v>0</v>
      </c>
      <c r="N502" s="22" t="n">
        <v>0</v>
      </c>
      <c r="O502" s="4"/>
      <c r="P502" s="4"/>
      <c r="Q502" s="4"/>
      <c r="R502" s="4" t="s">
        <v>2062</v>
      </c>
    </row>
    <row r="503" customFormat="false" ht="15" hidden="false" customHeight="false" outlineLevel="0" collapsed="false">
      <c r="A503" s="4" t="s">
        <v>2063</v>
      </c>
      <c r="B503" s="4" t="s">
        <v>408</v>
      </c>
      <c r="C503" s="4" t="s">
        <v>419</v>
      </c>
      <c r="D503" s="4" t="s">
        <v>359</v>
      </c>
      <c r="E503" s="4" t="s">
        <v>2064</v>
      </c>
      <c r="F503" s="4" t="s">
        <v>2065</v>
      </c>
      <c r="G503" s="4" t="n">
        <v>75</v>
      </c>
      <c r="H503" s="4" t="s">
        <v>359</v>
      </c>
      <c r="I503" s="22" t="n">
        <v>0</v>
      </c>
      <c r="J503" s="4" t="n">
        <v>44</v>
      </c>
      <c r="K503" s="4" t="n">
        <v>12</v>
      </c>
      <c r="L503" s="23" t="n">
        <f aca="false">IF(J503&gt;=5,K503/J503,"too few builds")</f>
        <v>0.272727272727273</v>
      </c>
      <c r="M503" s="22" t="n">
        <v>0</v>
      </c>
      <c r="N503" s="22" t="n">
        <v>0</v>
      </c>
      <c r="O503" s="4"/>
      <c r="P503" s="4"/>
      <c r="Q503" s="4"/>
      <c r="R503" s="4" t="s">
        <v>2066</v>
      </c>
    </row>
    <row r="504" customFormat="false" ht="15" hidden="false" customHeight="false" outlineLevel="0" collapsed="false">
      <c r="A504" s="4" t="s">
        <v>2067</v>
      </c>
      <c r="B504" s="4" t="s">
        <v>432</v>
      </c>
      <c r="C504" s="4" t="s">
        <v>379</v>
      </c>
      <c r="D504" s="4" t="s">
        <v>369</v>
      </c>
      <c r="E504" s="4" t="s">
        <v>2068</v>
      </c>
      <c r="F504" s="4" t="s">
        <v>2065</v>
      </c>
      <c r="G504" s="4" t="n">
        <v>75</v>
      </c>
      <c r="H504" s="4" t="s">
        <v>359</v>
      </c>
      <c r="I504" s="22" t="n">
        <v>0.05</v>
      </c>
      <c r="J504" s="4" t="n">
        <v>44</v>
      </c>
      <c r="K504" s="4" t="n">
        <v>24</v>
      </c>
      <c r="L504" s="23" t="n">
        <f aca="false">IF(J504&gt;=5,K504/J504,"too few builds")</f>
        <v>0.545454545454545</v>
      </c>
      <c r="M504" s="22" t="n">
        <v>0</v>
      </c>
      <c r="N504" s="22" t="n">
        <v>0</v>
      </c>
      <c r="O504" s="4"/>
      <c r="P504" s="4"/>
      <c r="Q504" s="4"/>
      <c r="R504" s="4" t="s">
        <v>2069</v>
      </c>
    </row>
    <row r="505" customFormat="false" ht="15" hidden="false" customHeight="false" outlineLevel="0" collapsed="false">
      <c r="A505" s="4" t="s">
        <v>408</v>
      </c>
      <c r="B505" s="4" t="s">
        <v>408</v>
      </c>
      <c r="C505" s="4" t="s">
        <v>379</v>
      </c>
      <c r="D505" s="4" t="s">
        <v>369</v>
      </c>
      <c r="E505" s="4" t="s">
        <v>2070</v>
      </c>
      <c r="F505" s="4" t="s">
        <v>2070</v>
      </c>
      <c r="G505" s="4" t="n">
        <v>1</v>
      </c>
      <c r="H505" s="4" t="s">
        <v>359</v>
      </c>
      <c r="I505" s="22" t="n">
        <v>0.12</v>
      </c>
      <c r="J505" s="4" t="n">
        <v>129</v>
      </c>
      <c r="K505" s="4" t="n">
        <v>63</v>
      </c>
      <c r="L505" s="23" t="n">
        <f aca="false">IF(J505&gt;=5,K505/J505,"too few builds")</f>
        <v>0.488372093023256</v>
      </c>
      <c r="M505" s="22" t="n">
        <v>0</v>
      </c>
      <c r="N505" s="22" t="n">
        <v>0</v>
      </c>
      <c r="O505" s="4"/>
      <c r="P505" s="4"/>
      <c r="Q505" s="4"/>
      <c r="R505" s="4" t="s">
        <v>2071</v>
      </c>
    </row>
    <row r="506" customFormat="false" ht="15" hidden="false" customHeight="false" outlineLevel="0" collapsed="false">
      <c r="A506" s="4" t="s">
        <v>2072</v>
      </c>
      <c r="B506" s="4" t="s">
        <v>797</v>
      </c>
      <c r="C506" s="4" t="s">
        <v>332</v>
      </c>
      <c r="D506" s="4" t="s">
        <v>369</v>
      </c>
      <c r="E506" s="4" t="s">
        <v>798</v>
      </c>
      <c r="F506" s="4" t="s">
        <v>371</v>
      </c>
      <c r="G506" s="4" t="n">
        <v>0</v>
      </c>
      <c r="H506" s="4" t="s">
        <v>369</v>
      </c>
      <c r="I506" s="22" t="n">
        <v>0</v>
      </c>
      <c r="J506" s="4" t="n">
        <v>16</v>
      </c>
      <c r="K506" s="4" t="n">
        <v>5</v>
      </c>
      <c r="L506" s="23" t="n">
        <f aca="false">IF(J506&gt;=5,K506/J506,"too few builds")</f>
        <v>0.3125</v>
      </c>
      <c r="M506" s="22" t="n">
        <v>0</v>
      </c>
      <c r="N506" s="22" t="n">
        <v>0</v>
      </c>
      <c r="O506" s="4"/>
      <c r="P506" s="4"/>
      <c r="Q506" s="4"/>
      <c r="R506" s="4" t="s">
        <v>2073</v>
      </c>
    </row>
    <row r="507" customFormat="false" ht="15" hidden="false" customHeight="false" outlineLevel="0" collapsed="false">
      <c r="A507" s="4" t="s">
        <v>2074</v>
      </c>
      <c r="B507" s="4" t="s">
        <v>1051</v>
      </c>
      <c r="C507" s="4" t="s">
        <v>379</v>
      </c>
      <c r="D507" s="4" t="s">
        <v>359</v>
      </c>
      <c r="E507" s="4" t="s">
        <v>2075</v>
      </c>
      <c r="F507" s="4" t="s">
        <v>2075</v>
      </c>
      <c r="G507" s="4" t="n">
        <v>85</v>
      </c>
      <c r="H507" s="4" t="s">
        <v>359</v>
      </c>
      <c r="I507" s="22" t="n">
        <v>0.04</v>
      </c>
      <c r="J507" s="4" t="n">
        <v>62</v>
      </c>
      <c r="K507" s="4" t="n">
        <v>26</v>
      </c>
      <c r="L507" s="23" t="n">
        <f aca="false">IF(J507&gt;=5,K507/J507,"too few builds")</f>
        <v>0.419354838709677</v>
      </c>
      <c r="M507" s="22" t="n">
        <v>0</v>
      </c>
      <c r="N507" s="22" t="n">
        <v>0</v>
      </c>
      <c r="O507" s="4"/>
      <c r="P507" s="4" t="s">
        <v>2076</v>
      </c>
      <c r="Q507" s="4"/>
      <c r="R507" s="4" t="s">
        <v>2077</v>
      </c>
    </row>
    <row r="508" customFormat="false" ht="15" hidden="false" customHeight="false" outlineLevel="0" collapsed="false">
      <c r="A508" s="4" t="s">
        <v>2078</v>
      </c>
      <c r="B508" s="4" t="s">
        <v>620</v>
      </c>
      <c r="C508" s="4" t="s">
        <v>379</v>
      </c>
      <c r="D508" s="4" t="s">
        <v>359</v>
      </c>
      <c r="E508" s="4" t="s">
        <v>2079</v>
      </c>
      <c r="F508" s="4" t="s">
        <v>2080</v>
      </c>
      <c r="G508" s="4" t="n">
        <v>80</v>
      </c>
      <c r="H508" s="4" t="s">
        <v>359</v>
      </c>
      <c r="I508" s="22" t="n">
        <v>0.09</v>
      </c>
      <c r="J508" s="4" t="n">
        <v>56</v>
      </c>
      <c r="K508" s="4" t="n">
        <v>45</v>
      </c>
      <c r="L508" s="23" t="n">
        <f aca="false">IF(J508&gt;=5,K508/J508,"too few builds")</f>
        <v>0.803571428571429</v>
      </c>
      <c r="M508" s="22" t="n">
        <v>0</v>
      </c>
      <c r="N508" s="22" t="n">
        <v>0</v>
      </c>
      <c r="O508" s="4"/>
      <c r="P508" s="4"/>
      <c r="Q508" s="4"/>
      <c r="R508" s="4" t="s">
        <v>2081</v>
      </c>
    </row>
    <row r="509" customFormat="false" ht="15" hidden="false" customHeight="false" outlineLevel="0" collapsed="false">
      <c r="A509" s="4" t="s">
        <v>2082</v>
      </c>
      <c r="B509" s="4" t="s">
        <v>1730</v>
      </c>
      <c r="C509" s="4" t="s">
        <v>379</v>
      </c>
      <c r="D509" s="4" t="s">
        <v>359</v>
      </c>
      <c r="E509" s="4" t="s">
        <v>2083</v>
      </c>
      <c r="F509" s="4" t="s">
        <v>2084</v>
      </c>
      <c r="G509" s="4" t="n">
        <v>60</v>
      </c>
      <c r="H509" s="4" t="s">
        <v>359</v>
      </c>
      <c r="I509" s="22" t="n">
        <v>0.15</v>
      </c>
      <c r="J509" s="4" t="n">
        <v>93</v>
      </c>
      <c r="K509" s="4" t="n">
        <v>81</v>
      </c>
      <c r="L509" s="23" t="n">
        <f aca="false">IF(J509&gt;=5,K509/J509,"too few builds")</f>
        <v>0.870967741935484</v>
      </c>
      <c r="M509" s="22" t="n">
        <v>0</v>
      </c>
      <c r="N509" s="22" t="n">
        <v>0</v>
      </c>
      <c r="O509" s="4"/>
      <c r="P509" s="4"/>
      <c r="Q509" s="4"/>
      <c r="R509" s="4" t="s">
        <v>2085</v>
      </c>
    </row>
    <row r="510" customFormat="false" ht="15" hidden="false" customHeight="false" outlineLevel="0" collapsed="false">
      <c r="A510" s="4" t="s">
        <v>2086</v>
      </c>
      <c r="B510" s="4" t="s">
        <v>413</v>
      </c>
      <c r="C510" s="4" t="s">
        <v>379</v>
      </c>
      <c r="D510" s="4" t="s">
        <v>359</v>
      </c>
      <c r="E510" s="4" t="s">
        <v>2087</v>
      </c>
      <c r="F510" s="4" t="s">
        <v>1172</v>
      </c>
      <c r="G510" s="4" t="n">
        <v>30</v>
      </c>
      <c r="H510" s="4" t="s">
        <v>359</v>
      </c>
      <c r="I510" s="22" t="n">
        <v>0</v>
      </c>
      <c r="J510" s="4" t="n">
        <v>94</v>
      </c>
      <c r="K510" s="4" t="n">
        <v>4</v>
      </c>
      <c r="L510" s="23" t="n">
        <f aca="false">IF(J510&gt;=5,K510/J510,"too few builds")</f>
        <v>0.0425531914893617</v>
      </c>
      <c r="M510" s="22" t="n">
        <v>0</v>
      </c>
      <c r="N510" s="22" t="n">
        <v>0</v>
      </c>
      <c r="O510" s="4"/>
      <c r="P510" s="4"/>
      <c r="Q510" s="4"/>
      <c r="R510" s="4" t="s">
        <v>2088</v>
      </c>
    </row>
    <row r="511" customFormat="false" ht="15" hidden="false" customHeight="false" outlineLevel="0" collapsed="false">
      <c r="A511" s="4" t="s">
        <v>2089</v>
      </c>
      <c r="B511" s="4" t="s">
        <v>711</v>
      </c>
      <c r="C511" s="4" t="s">
        <v>419</v>
      </c>
      <c r="D511" s="4" t="s">
        <v>359</v>
      </c>
      <c r="E511" s="4" t="s">
        <v>1814</v>
      </c>
      <c r="F511" s="4" t="s">
        <v>1814</v>
      </c>
      <c r="G511" s="4" t="n">
        <v>40</v>
      </c>
      <c r="H511" s="4" t="s">
        <v>359</v>
      </c>
      <c r="I511" s="22" t="n">
        <v>0.43</v>
      </c>
      <c r="J511" s="4" t="n">
        <v>249</v>
      </c>
      <c r="K511" s="4" t="n">
        <v>219</v>
      </c>
      <c r="L511" s="23" t="n">
        <f aca="false">IF(J511&gt;=5,K511/J511,"too few builds")</f>
        <v>0.879518072289157</v>
      </c>
      <c r="M511" s="22" t="n">
        <v>0</v>
      </c>
      <c r="N511" s="22" t="n">
        <v>0</v>
      </c>
      <c r="O511" s="4"/>
      <c r="P511" s="4"/>
      <c r="Q511" s="4"/>
      <c r="R511" s="4" t="s">
        <v>2090</v>
      </c>
    </row>
    <row r="512" customFormat="false" ht="15" hidden="false" customHeight="false" outlineLevel="0" collapsed="false">
      <c r="A512" s="4" t="s">
        <v>2091</v>
      </c>
      <c r="B512" s="4" t="s">
        <v>408</v>
      </c>
      <c r="C512" s="4" t="s">
        <v>379</v>
      </c>
      <c r="D512" s="4" t="s">
        <v>359</v>
      </c>
      <c r="E512" s="4" t="s">
        <v>1168</v>
      </c>
      <c r="F512" s="4" t="s">
        <v>1168</v>
      </c>
      <c r="G512" s="4" t="n">
        <v>30</v>
      </c>
      <c r="H512" s="4" t="s">
        <v>359</v>
      </c>
      <c r="I512" s="22" t="n">
        <v>0</v>
      </c>
      <c r="J512" s="4" t="n">
        <v>76</v>
      </c>
      <c r="K512" s="4" t="n">
        <v>14</v>
      </c>
      <c r="L512" s="23" t="n">
        <f aca="false">IF(J512&gt;=5,K512/J512,"too few builds")</f>
        <v>0.184210526315789</v>
      </c>
      <c r="M512" s="22" t="n">
        <v>0</v>
      </c>
      <c r="N512" s="22" t="n">
        <v>0</v>
      </c>
      <c r="O512" s="4"/>
      <c r="P512" s="4" t="s">
        <v>1866</v>
      </c>
      <c r="Q512" s="4" t="s">
        <v>2092</v>
      </c>
      <c r="R512" s="4" t="s">
        <v>2093</v>
      </c>
    </row>
    <row r="513" customFormat="false" ht="15" hidden="false" customHeight="false" outlineLevel="0" collapsed="false">
      <c r="A513" s="4" t="s">
        <v>2094</v>
      </c>
      <c r="B513" s="4" t="s">
        <v>357</v>
      </c>
      <c r="C513" s="4" t="s">
        <v>419</v>
      </c>
      <c r="D513" s="4" t="s">
        <v>359</v>
      </c>
      <c r="E513" s="4" t="s">
        <v>2095</v>
      </c>
      <c r="F513" s="4" t="s">
        <v>1530</v>
      </c>
      <c r="G513" s="4" t="n">
        <v>60</v>
      </c>
      <c r="H513" s="4" t="s">
        <v>359</v>
      </c>
      <c r="I513" s="22" t="n">
        <v>0.13</v>
      </c>
      <c r="J513" s="4" t="n">
        <v>87</v>
      </c>
      <c r="K513" s="4" t="n">
        <v>48</v>
      </c>
      <c r="L513" s="23" t="n">
        <f aca="false">IF(J513&gt;=5,K513/J513,"too few builds")</f>
        <v>0.551724137931035</v>
      </c>
      <c r="M513" s="22" t="n">
        <v>0</v>
      </c>
      <c r="N513" s="22" t="n">
        <v>0</v>
      </c>
      <c r="O513" s="4"/>
      <c r="P513" s="4"/>
      <c r="Q513" s="4"/>
      <c r="R513" s="4" t="s">
        <v>2096</v>
      </c>
    </row>
    <row r="514" customFormat="false" ht="15" hidden="false" customHeight="false" outlineLevel="0" collapsed="false">
      <c r="A514" s="4" t="s">
        <v>2097</v>
      </c>
      <c r="B514" s="4" t="s">
        <v>2098</v>
      </c>
      <c r="C514" s="4" t="s">
        <v>379</v>
      </c>
      <c r="D514" s="4" t="s">
        <v>359</v>
      </c>
      <c r="E514" s="4" t="s">
        <v>2099</v>
      </c>
      <c r="F514" s="4" t="s">
        <v>2100</v>
      </c>
      <c r="G514" s="4" t="n">
        <v>200</v>
      </c>
      <c r="H514" s="4" t="s">
        <v>359</v>
      </c>
      <c r="I514" s="22" t="n">
        <v>0</v>
      </c>
      <c r="J514" s="4" t="n">
        <v>5</v>
      </c>
      <c r="K514" s="4" t="n">
        <v>2</v>
      </c>
      <c r="L514" s="23" t="n">
        <f aca="false">IF(J514&gt;=5,K514/J514,"too few builds")</f>
        <v>0.4</v>
      </c>
      <c r="M514" s="22" t="n">
        <v>0</v>
      </c>
      <c r="N514" s="22" t="n">
        <v>0</v>
      </c>
      <c r="O514" s="4"/>
      <c r="P514" s="4"/>
      <c r="Q514" s="4"/>
      <c r="R514" s="4" t="s">
        <v>2101</v>
      </c>
    </row>
    <row r="515" customFormat="false" ht="15" hidden="false" customHeight="false" outlineLevel="0" collapsed="false">
      <c r="A515" s="4" t="s">
        <v>2102</v>
      </c>
      <c r="B515" s="4" t="s">
        <v>215</v>
      </c>
      <c r="C515" s="4" t="s">
        <v>332</v>
      </c>
      <c r="D515" s="4" t="s">
        <v>369</v>
      </c>
      <c r="E515" s="4" t="s">
        <v>481</v>
      </c>
      <c r="F515" s="4" t="s">
        <v>371</v>
      </c>
      <c r="G515" s="4" t="n">
        <v>0</v>
      </c>
      <c r="H515" s="4" t="s">
        <v>369</v>
      </c>
      <c r="I515" s="22" t="n">
        <v>0</v>
      </c>
      <c r="J515" s="4" t="n">
        <v>51</v>
      </c>
      <c r="K515" s="4" t="n">
        <v>19</v>
      </c>
      <c r="L515" s="23" t="n">
        <f aca="false">IF(J515&gt;=5,K515/J515,"too few builds")</f>
        <v>0.372549019607843</v>
      </c>
      <c r="M515" s="22" t="n">
        <v>0</v>
      </c>
      <c r="N515" s="22" t="n">
        <v>0</v>
      </c>
      <c r="O515" s="4"/>
      <c r="P515" s="4"/>
      <c r="Q515" s="4"/>
      <c r="R515" s="4" t="s">
        <v>2103</v>
      </c>
    </row>
    <row r="516" customFormat="false" ht="15" hidden="false" customHeight="false" outlineLevel="0" collapsed="false">
      <c r="A516" s="4" t="s">
        <v>2104</v>
      </c>
      <c r="B516" s="4" t="s">
        <v>445</v>
      </c>
      <c r="C516" s="4" t="s">
        <v>419</v>
      </c>
      <c r="D516" s="4" t="s">
        <v>359</v>
      </c>
      <c r="E516" s="4" t="s">
        <v>2105</v>
      </c>
      <c r="F516" s="4" t="s">
        <v>2106</v>
      </c>
      <c r="G516" s="4" t="n">
        <v>130</v>
      </c>
      <c r="H516" s="4" t="s">
        <v>359</v>
      </c>
      <c r="I516" s="22" t="n">
        <v>0.04</v>
      </c>
      <c r="J516" s="4" t="n">
        <v>24</v>
      </c>
      <c r="K516" s="4" t="n">
        <v>19</v>
      </c>
      <c r="L516" s="23" t="n">
        <f aca="false">IF(J516&gt;=5,K516/J516,"too few builds")</f>
        <v>0.791666666666667</v>
      </c>
      <c r="M516" s="22" t="n">
        <v>0</v>
      </c>
      <c r="N516" s="22" t="n">
        <v>0</v>
      </c>
      <c r="O516" s="4"/>
      <c r="P516" s="4"/>
      <c r="Q516" s="4"/>
      <c r="R516" s="4" t="s">
        <v>2107</v>
      </c>
    </row>
    <row r="517" customFormat="false" ht="15" hidden="false" customHeight="false" outlineLevel="0" collapsed="false">
      <c r="A517" s="4" t="s">
        <v>2092</v>
      </c>
      <c r="B517" s="4" t="s">
        <v>408</v>
      </c>
      <c r="C517" s="4" t="s">
        <v>379</v>
      </c>
      <c r="D517" s="4" t="s">
        <v>359</v>
      </c>
      <c r="E517" s="4" t="s">
        <v>652</v>
      </c>
      <c r="F517" s="4" t="s">
        <v>652</v>
      </c>
      <c r="G517" s="4" t="n">
        <v>40</v>
      </c>
      <c r="H517" s="4" t="s">
        <v>359</v>
      </c>
      <c r="I517" s="22" t="n">
        <v>0.08</v>
      </c>
      <c r="J517" s="4" t="n">
        <v>66</v>
      </c>
      <c r="K517" s="4" t="n">
        <v>46</v>
      </c>
      <c r="L517" s="23" t="n">
        <f aca="false">IF(J517&gt;=5,K517/J517,"too few builds")</f>
        <v>0.696969696969697</v>
      </c>
      <c r="M517" s="22" t="n">
        <v>0</v>
      </c>
      <c r="N517" s="22" t="n">
        <v>0</v>
      </c>
      <c r="O517" s="4"/>
      <c r="P517" s="4"/>
      <c r="Q517" s="4" t="s">
        <v>2091</v>
      </c>
      <c r="R517" s="4" t="s">
        <v>2108</v>
      </c>
    </row>
    <row r="518" customFormat="false" ht="15" hidden="false" customHeight="false" outlineLevel="0" collapsed="false">
      <c r="A518" s="4" t="s">
        <v>2109</v>
      </c>
      <c r="B518" s="4" t="s">
        <v>1636</v>
      </c>
      <c r="C518" s="4" t="s">
        <v>379</v>
      </c>
      <c r="D518" s="4" t="s">
        <v>359</v>
      </c>
      <c r="E518" s="4" t="s">
        <v>989</v>
      </c>
      <c r="F518" s="4" t="s">
        <v>989</v>
      </c>
      <c r="G518" s="4" t="n">
        <v>50</v>
      </c>
      <c r="H518" s="4" t="s">
        <v>359</v>
      </c>
      <c r="I518" s="22" t="n">
        <v>0</v>
      </c>
      <c r="J518" s="4" t="n">
        <v>126</v>
      </c>
      <c r="K518" s="4" t="n">
        <v>6</v>
      </c>
      <c r="L518" s="23" t="n">
        <f aca="false">IF(J518&gt;=5,K518/J518,"too few builds")</f>
        <v>0.0476190476190476</v>
      </c>
      <c r="M518" s="22" t="n">
        <v>0</v>
      </c>
      <c r="N518" s="22" t="n">
        <v>0</v>
      </c>
      <c r="O518" s="4"/>
      <c r="P518" s="4"/>
      <c r="Q518" s="4"/>
      <c r="R518" s="4" t="s">
        <v>2110</v>
      </c>
    </row>
    <row r="519" customFormat="false" ht="15" hidden="false" customHeight="false" outlineLevel="0" collapsed="false">
      <c r="A519" s="4" t="s">
        <v>2111</v>
      </c>
      <c r="B519" s="4" t="s">
        <v>647</v>
      </c>
      <c r="C519" s="4" t="s">
        <v>419</v>
      </c>
      <c r="D519" s="4" t="s">
        <v>359</v>
      </c>
      <c r="E519" s="4" t="s">
        <v>926</v>
      </c>
      <c r="F519" s="4" t="s">
        <v>926</v>
      </c>
      <c r="G519" s="4" t="n">
        <v>65</v>
      </c>
      <c r="H519" s="4" t="s">
        <v>359</v>
      </c>
      <c r="I519" s="22" t="n">
        <v>0.09</v>
      </c>
      <c r="J519" s="4" t="n">
        <v>74</v>
      </c>
      <c r="K519" s="4" t="n">
        <v>41</v>
      </c>
      <c r="L519" s="23" t="n">
        <f aca="false">IF(J519&gt;=5,K519/J519,"too few builds")</f>
        <v>0.554054054054054</v>
      </c>
      <c r="M519" s="22" t="n">
        <v>0</v>
      </c>
      <c r="N519" s="22" t="n">
        <v>0</v>
      </c>
      <c r="O519" s="4"/>
      <c r="P519" s="4"/>
      <c r="Q519" s="4"/>
      <c r="R519" s="4" t="s">
        <v>2112</v>
      </c>
    </row>
    <row r="520" customFormat="false" ht="15" hidden="false" customHeight="false" outlineLevel="0" collapsed="false">
      <c r="A520" s="4" t="s">
        <v>2113</v>
      </c>
      <c r="B520" s="4" t="s">
        <v>1380</v>
      </c>
      <c r="C520" s="4" t="s">
        <v>379</v>
      </c>
      <c r="D520" s="4" t="s">
        <v>359</v>
      </c>
      <c r="E520" s="4" t="s">
        <v>2114</v>
      </c>
      <c r="F520" s="4" t="s">
        <v>2114</v>
      </c>
      <c r="G520" s="4" t="n">
        <v>30</v>
      </c>
      <c r="H520" s="4" t="s">
        <v>359</v>
      </c>
      <c r="I520" s="22" t="n">
        <v>0.07</v>
      </c>
      <c r="J520" s="4" t="n">
        <v>228</v>
      </c>
      <c r="K520" s="4" t="n">
        <v>39</v>
      </c>
      <c r="L520" s="23" t="n">
        <f aca="false">IF(J520&gt;=5,K520/J520,"too few builds")</f>
        <v>0.171052631578947</v>
      </c>
      <c r="M520" s="22" t="n">
        <v>0</v>
      </c>
      <c r="N520" s="22" t="n">
        <v>0</v>
      </c>
      <c r="O520" s="4"/>
      <c r="P520" s="4"/>
      <c r="Q520" s="4"/>
      <c r="R520" s="4" t="s">
        <v>2115</v>
      </c>
    </row>
    <row r="521" customFormat="false" ht="15" hidden="false" customHeight="false" outlineLevel="0" collapsed="false">
      <c r="A521" s="4" t="s">
        <v>2116</v>
      </c>
      <c r="B521" s="4" t="s">
        <v>1261</v>
      </c>
      <c r="C521" s="4" t="s">
        <v>332</v>
      </c>
      <c r="D521" s="4" t="s">
        <v>369</v>
      </c>
      <c r="E521" s="4" t="s">
        <v>1262</v>
      </c>
      <c r="F521" s="4" t="s">
        <v>371</v>
      </c>
      <c r="G521" s="4" t="n">
        <v>0</v>
      </c>
      <c r="H521" s="4" t="s">
        <v>369</v>
      </c>
      <c r="I521" s="22" t="n">
        <v>0</v>
      </c>
      <c r="J521" s="4" t="n">
        <v>61</v>
      </c>
      <c r="K521" s="4" t="n">
        <v>24</v>
      </c>
      <c r="L521" s="23" t="n">
        <f aca="false">IF(J521&gt;=5,K521/J521,"too few builds")</f>
        <v>0.39344262295082</v>
      </c>
      <c r="M521" s="22" t="n">
        <v>0</v>
      </c>
      <c r="N521" s="22" t="n">
        <v>0</v>
      </c>
      <c r="O521" s="4"/>
      <c r="P521" s="4"/>
      <c r="Q521" s="4"/>
      <c r="R521" s="4" t="s">
        <v>2117</v>
      </c>
    </row>
    <row r="522" customFormat="false" ht="15" hidden="false" customHeight="false" outlineLevel="0" collapsed="false">
      <c r="A522" s="4" t="s">
        <v>2118</v>
      </c>
      <c r="B522" s="4" t="s">
        <v>538</v>
      </c>
      <c r="C522" s="4" t="s">
        <v>379</v>
      </c>
      <c r="D522" s="4" t="s">
        <v>359</v>
      </c>
      <c r="E522" s="4" t="s">
        <v>2119</v>
      </c>
      <c r="F522" s="4" t="s">
        <v>1694</v>
      </c>
      <c r="G522" s="4" t="n">
        <v>50</v>
      </c>
      <c r="H522" s="4" t="s">
        <v>359</v>
      </c>
      <c r="I522" s="22" t="n">
        <v>0.12</v>
      </c>
      <c r="J522" s="4" t="n">
        <v>71</v>
      </c>
      <c r="K522" s="4" t="n">
        <v>61</v>
      </c>
      <c r="L522" s="23" t="n">
        <f aca="false">IF(J522&gt;=5,K522/J522,"too few builds")</f>
        <v>0.859154929577465</v>
      </c>
      <c r="M522" s="22" t="n">
        <v>0</v>
      </c>
      <c r="N522" s="22" t="n">
        <v>0</v>
      </c>
      <c r="O522" s="4"/>
      <c r="P522" s="4"/>
      <c r="Q522" s="4"/>
      <c r="R522" s="4" t="s">
        <v>2120</v>
      </c>
    </row>
    <row r="523" customFormat="false" ht="15" hidden="false" customHeight="false" outlineLevel="0" collapsed="false">
      <c r="A523" s="4" t="s">
        <v>2121</v>
      </c>
      <c r="B523" s="4" t="s">
        <v>1276</v>
      </c>
      <c r="C523" s="4" t="s">
        <v>332</v>
      </c>
      <c r="D523" s="4" t="s">
        <v>369</v>
      </c>
      <c r="E523" s="4" t="s">
        <v>1277</v>
      </c>
      <c r="F523" s="4" t="s">
        <v>371</v>
      </c>
      <c r="G523" s="4" t="n">
        <v>0</v>
      </c>
      <c r="H523" s="4" t="s">
        <v>369</v>
      </c>
      <c r="I523" s="22" t="n">
        <v>0</v>
      </c>
      <c r="J523" s="4" t="n">
        <v>59</v>
      </c>
      <c r="K523" s="4" t="n">
        <v>20</v>
      </c>
      <c r="L523" s="23" t="n">
        <f aca="false">IF(J523&gt;=5,K523/J523,"too few builds")</f>
        <v>0.338983050847458</v>
      </c>
      <c r="M523" s="22" t="n">
        <v>0</v>
      </c>
      <c r="N523" s="22" t="n">
        <v>0</v>
      </c>
      <c r="O523" s="4"/>
      <c r="P523" s="4"/>
      <c r="Q523" s="4"/>
      <c r="R523" s="4" t="s">
        <v>2122</v>
      </c>
    </row>
    <row r="524" customFormat="false" ht="15" hidden="false" customHeight="false" outlineLevel="0" collapsed="false">
      <c r="A524" s="4" t="s">
        <v>2123</v>
      </c>
      <c r="B524" s="4" t="s">
        <v>477</v>
      </c>
      <c r="C524" s="4" t="s">
        <v>332</v>
      </c>
      <c r="D524" s="4" t="s">
        <v>369</v>
      </c>
      <c r="E524" s="4" t="s">
        <v>478</v>
      </c>
      <c r="F524" s="4" t="s">
        <v>371</v>
      </c>
      <c r="G524" s="4" t="n">
        <v>0</v>
      </c>
      <c r="H524" s="4" t="s">
        <v>369</v>
      </c>
      <c r="I524" s="22" t="n">
        <v>0</v>
      </c>
      <c r="J524" s="4" t="n">
        <v>11</v>
      </c>
      <c r="K524" s="4" t="n">
        <v>4</v>
      </c>
      <c r="L524" s="23" t="n">
        <f aca="false">IF(J524&gt;=5,K524/J524,"too few builds")</f>
        <v>0.363636363636364</v>
      </c>
      <c r="M524" s="22" t="n">
        <v>0</v>
      </c>
      <c r="N524" s="22" t="n">
        <v>0</v>
      </c>
      <c r="O524" s="4"/>
      <c r="P524" s="4"/>
      <c r="Q524" s="4"/>
      <c r="R524" s="4" t="s">
        <v>2124</v>
      </c>
    </row>
    <row r="525" customFormat="false" ht="15" hidden="false" customHeight="false" outlineLevel="0" collapsed="false">
      <c r="A525" s="4" t="s">
        <v>2125</v>
      </c>
      <c r="B525" s="4" t="s">
        <v>924</v>
      </c>
      <c r="C525" s="4" t="s">
        <v>419</v>
      </c>
      <c r="D525" s="4" t="s">
        <v>359</v>
      </c>
      <c r="E525" s="4" t="s">
        <v>2126</v>
      </c>
      <c r="F525" s="4" t="s">
        <v>631</v>
      </c>
      <c r="G525" s="4" t="n">
        <v>60</v>
      </c>
      <c r="H525" s="4" t="s">
        <v>359</v>
      </c>
      <c r="I525" s="22" t="n">
        <v>0.13</v>
      </c>
      <c r="J525" s="4" t="n">
        <v>76</v>
      </c>
      <c r="K525" s="4" t="n">
        <v>69</v>
      </c>
      <c r="L525" s="23" t="n">
        <f aca="false">IF(J525&gt;=5,K525/J525,"too few builds")</f>
        <v>0.907894736842105</v>
      </c>
      <c r="M525" s="22" t="n">
        <v>0</v>
      </c>
      <c r="N525" s="22" t="n">
        <v>0</v>
      </c>
      <c r="O525" s="4"/>
      <c r="P525" s="4"/>
      <c r="Q525" s="4"/>
      <c r="R525" s="4" t="s">
        <v>2127</v>
      </c>
    </row>
    <row r="526" customFormat="false" ht="15" hidden="false" customHeight="false" outlineLevel="0" collapsed="false">
      <c r="A526" s="4" t="s">
        <v>2128</v>
      </c>
      <c r="B526" s="4" t="s">
        <v>378</v>
      </c>
      <c r="C526" s="4" t="s">
        <v>419</v>
      </c>
      <c r="D526" s="4" t="s">
        <v>359</v>
      </c>
      <c r="E526" s="4" t="s">
        <v>599</v>
      </c>
      <c r="F526" s="4" t="s">
        <v>599</v>
      </c>
      <c r="G526" s="4" t="n">
        <v>25</v>
      </c>
      <c r="H526" s="4" t="s">
        <v>359</v>
      </c>
      <c r="I526" s="22" t="n">
        <v>0.75</v>
      </c>
      <c r="J526" s="4" t="n">
        <v>409</v>
      </c>
      <c r="K526" s="4" t="n">
        <v>358</v>
      </c>
      <c r="L526" s="23" t="n">
        <f aca="false">IF(J526&gt;=5,K526/J526,"too few builds")</f>
        <v>0.875305623471883</v>
      </c>
      <c r="M526" s="22" t="n">
        <v>0</v>
      </c>
      <c r="N526" s="22" t="n">
        <v>0</v>
      </c>
      <c r="O526" s="4"/>
      <c r="P526" s="4"/>
      <c r="Q526" s="4"/>
      <c r="R526" s="4" t="s">
        <v>2129</v>
      </c>
    </row>
    <row r="527" customFormat="false" ht="15" hidden="false" customHeight="false" outlineLevel="0" collapsed="false">
      <c r="A527" s="4" t="s">
        <v>2130</v>
      </c>
      <c r="B527" s="4" t="s">
        <v>1206</v>
      </c>
      <c r="C527" s="4" t="s">
        <v>379</v>
      </c>
      <c r="D527" s="4" t="s">
        <v>359</v>
      </c>
      <c r="E527" s="4" t="s">
        <v>599</v>
      </c>
      <c r="F527" s="4" t="s">
        <v>599</v>
      </c>
      <c r="G527" s="4" t="n">
        <v>25</v>
      </c>
      <c r="H527" s="4" t="s">
        <v>359</v>
      </c>
      <c r="I527" s="22" t="n">
        <v>0.14</v>
      </c>
      <c r="J527" s="4" t="n">
        <v>409</v>
      </c>
      <c r="K527" s="4" t="n">
        <v>69</v>
      </c>
      <c r="L527" s="23" t="n">
        <f aca="false">IF(J527&gt;=5,K527/J527,"too few builds")</f>
        <v>0.168704156479218</v>
      </c>
      <c r="M527" s="22" t="n">
        <v>0</v>
      </c>
      <c r="N527" s="22" t="n">
        <v>0</v>
      </c>
      <c r="O527" s="4"/>
      <c r="P527" s="4" t="s">
        <v>2131</v>
      </c>
      <c r="Q527" s="4"/>
      <c r="R527" s="4" t="s">
        <v>2132</v>
      </c>
    </row>
    <row r="528" customFormat="false" ht="15" hidden="false" customHeight="false" outlineLevel="0" collapsed="false">
      <c r="A528" s="4" t="s">
        <v>2133</v>
      </c>
      <c r="B528" s="4" t="s">
        <v>2134</v>
      </c>
      <c r="C528" s="4" t="s">
        <v>584</v>
      </c>
      <c r="D528" s="4" t="s">
        <v>369</v>
      </c>
      <c r="E528" s="4" t="s">
        <v>585</v>
      </c>
      <c r="F528" s="4" t="s">
        <v>371</v>
      </c>
      <c r="G528" s="4" t="n">
        <v>0</v>
      </c>
      <c r="H528" s="4" t="s">
        <v>369</v>
      </c>
      <c r="I528" s="22" t="n">
        <v>0</v>
      </c>
      <c r="J528" s="4" t="n">
        <v>500</v>
      </c>
      <c r="K528" s="4" t="n">
        <v>7</v>
      </c>
      <c r="L528" s="23" t="n">
        <f aca="false">IF(J528&gt;=5,K528/J528,"too few builds")</f>
        <v>0.014</v>
      </c>
      <c r="M528" s="22" t="n">
        <v>0</v>
      </c>
      <c r="N528" s="22" t="n">
        <v>0</v>
      </c>
      <c r="O528" s="4"/>
      <c r="P528" s="4"/>
      <c r="Q528" s="4"/>
      <c r="R528" s="4" t="s">
        <v>2135</v>
      </c>
    </row>
    <row r="529" customFormat="false" ht="15" hidden="false" customHeight="false" outlineLevel="0" collapsed="false">
      <c r="A529" s="4" t="s">
        <v>2136</v>
      </c>
      <c r="B529" s="4" t="s">
        <v>838</v>
      </c>
      <c r="C529" s="4" t="s">
        <v>419</v>
      </c>
      <c r="D529" s="4" t="s">
        <v>359</v>
      </c>
      <c r="E529" s="4" t="s">
        <v>2137</v>
      </c>
      <c r="F529" s="4" t="s">
        <v>2137</v>
      </c>
      <c r="G529" s="4" t="n">
        <v>45</v>
      </c>
      <c r="H529" s="4" t="s">
        <v>359</v>
      </c>
      <c r="I529" s="22" t="n">
        <v>0.53</v>
      </c>
      <c r="J529" s="4" t="n">
        <v>318</v>
      </c>
      <c r="K529" s="4" t="n">
        <v>258</v>
      </c>
      <c r="L529" s="23" t="n">
        <f aca="false">IF(J529&gt;=5,K529/J529,"too few builds")</f>
        <v>0.811320754716981</v>
      </c>
      <c r="M529" s="22" t="n">
        <v>0</v>
      </c>
      <c r="N529" s="22" t="n">
        <v>0</v>
      </c>
      <c r="O529" s="4"/>
      <c r="P529" s="4" t="s">
        <v>2138</v>
      </c>
      <c r="Q529" s="4"/>
      <c r="R529" s="4" t="s">
        <v>2139</v>
      </c>
    </row>
    <row r="530" customFormat="false" ht="15" hidden="false" customHeight="false" outlineLevel="0" collapsed="false">
      <c r="A530" s="4" t="s">
        <v>2140</v>
      </c>
      <c r="B530" s="4" t="s">
        <v>378</v>
      </c>
      <c r="C530" s="4" t="s">
        <v>379</v>
      </c>
      <c r="D530" s="4" t="s">
        <v>359</v>
      </c>
      <c r="E530" s="4" t="s">
        <v>1207</v>
      </c>
      <c r="F530" s="4" t="s">
        <v>1207</v>
      </c>
      <c r="G530" s="4" t="n">
        <v>20</v>
      </c>
      <c r="H530" s="4" t="s">
        <v>359</v>
      </c>
      <c r="I530" s="22" t="n">
        <v>0.4</v>
      </c>
      <c r="J530" s="4" t="n">
        <v>416</v>
      </c>
      <c r="K530" s="4" t="n">
        <v>180</v>
      </c>
      <c r="L530" s="23" t="n">
        <f aca="false">IF(J530&gt;=5,K530/J530,"too few builds")</f>
        <v>0.432692307692308</v>
      </c>
      <c r="M530" s="22" t="n">
        <v>0.15</v>
      </c>
      <c r="N530" s="22" t="n">
        <v>0</v>
      </c>
      <c r="O530" s="4"/>
      <c r="P530" s="4" t="s">
        <v>2141</v>
      </c>
      <c r="Q530" s="4"/>
      <c r="R530" s="4" t="s">
        <v>2142</v>
      </c>
    </row>
    <row r="531" customFormat="false" ht="15" hidden="false" customHeight="false" outlineLevel="0" collapsed="false">
      <c r="A531" s="4" t="s">
        <v>2143</v>
      </c>
      <c r="B531" s="4" t="s">
        <v>731</v>
      </c>
      <c r="C531" s="4" t="s">
        <v>379</v>
      </c>
      <c r="D531" s="4" t="s">
        <v>359</v>
      </c>
      <c r="E531" s="4" t="s">
        <v>2144</v>
      </c>
      <c r="F531" s="4" t="s">
        <v>371</v>
      </c>
      <c r="G531" s="4" t="n">
        <v>0</v>
      </c>
      <c r="H531" s="4" t="s">
        <v>359</v>
      </c>
      <c r="I531" s="22" t="n">
        <v>0</v>
      </c>
      <c r="J531" s="4" t="n">
        <v>500</v>
      </c>
      <c r="K531" s="4" t="n">
        <v>9</v>
      </c>
      <c r="L531" s="23" t="n">
        <f aca="false">IF(J531&gt;=5,K531/J531,"too few builds")</f>
        <v>0.018</v>
      </c>
      <c r="M531" s="22" t="n">
        <v>0</v>
      </c>
      <c r="N531" s="22" t="n">
        <v>0</v>
      </c>
      <c r="O531" s="4"/>
      <c r="P531" s="4" t="s">
        <v>2145</v>
      </c>
      <c r="Q531" s="4"/>
      <c r="R531" s="4" t="s">
        <v>2146</v>
      </c>
    </row>
    <row r="532" customFormat="false" ht="15" hidden="false" customHeight="false" outlineLevel="0" collapsed="false">
      <c r="A532" s="4" t="s">
        <v>2147</v>
      </c>
      <c r="B532" s="4" t="s">
        <v>667</v>
      </c>
      <c r="C532" s="4" t="s">
        <v>379</v>
      </c>
      <c r="D532" s="4" t="s">
        <v>359</v>
      </c>
      <c r="E532" s="4" t="s">
        <v>2148</v>
      </c>
      <c r="F532" s="4" t="s">
        <v>2149</v>
      </c>
      <c r="G532" s="4" t="n">
        <v>180</v>
      </c>
      <c r="H532" s="4" t="s">
        <v>359</v>
      </c>
      <c r="I532" s="22" t="n">
        <v>0</v>
      </c>
      <c r="J532" s="4" t="n">
        <v>7</v>
      </c>
      <c r="K532" s="4" t="n">
        <v>1</v>
      </c>
      <c r="L532" s="23" t="n">
        <f aca="false">IF(J532&gt;=5,K532/J532,"too few builds")</f>
        <v>0.142857142857143</v>
      </c>
      <c r="M532" s="22" t="n">
        <v>0</v>
      </c>
      <c r="N532" s="22" t="n">
        <v>0</v>
      </c>
      <c r="O532" s="4"/>
      <c r="P532" s="4"/>
      <c r="Q532" s="4"/>
      <c r="R532" s="4"/>
    </row>
    <row r="533" customFormat="false" ht="15" hidden="false" customHeight="false" outlineLevel="0" collapsed="false">
      <c r="A533" s="4" t="s">
        <v>2150</v>
      </c>
      <c r="B533" s="4" t="s">
        <v>1560</v>
      </c>
      <c r="C533" s="4" t="s">
        <v>379</v>
      </c>
      <c r="D533" s="4" t="s">
        <v>359</v>
      </c>
      <c r="E533" s="4" t="s">
        <v>2151</v>
      </c>
      <c r="F533" s="4" t="s">
        <v>2152</v>
      </c>
      <c r="G533" s="4" t="n">
        <v>85</v>
      </c>
      <c r="H533" s="4" t="s">
        <v>359</v>
      </c>
      <c r="I533" s="22" t="n">
        <v>0.05</v>
      </c>
      <c r="J533" s="4" t="n">
        <v>33</v>
      </c>
      <c r="K533" s="4" t="n">
        <v>24</v>
      </c>
      <c r="L533" s="23" t="n">
        <f aca="false">IF(J533&gt;=5,K533/J533,"too few builds")</f>
        <v>0.727272727272727</v>
      </c>
      <c r="M533" s="22" t="n">
        <v>0</v>
      </c>
      <c r="N533" s="22" t="n">
        <v>0</v>
      </c>
      <c r="O533" s="4"/>
      <c r="P533" s="4"/>
      <c r="Q533" s="4"/>
      <c r="R533" s="4" t="s">
        <v>2153</v>
      </c>
    </row>
    <row r="534" customFormat="false" ht="15" hidden="false" customHeight="false" outlineLevel="0" collapsed="false">
      <c r="A534" s="4" t="s">
        <v>2154</v>
      </c>
      <c r="B534" s="4" t="s">
        <v>1560</v>
      </c>
      <c r="C534" s="4" t="s">
        <v>379</v>
      </c>
      <c r="D534" s="4" t="s">
        <v>359</v>
      </c>
      <c r="E534" s="4" t="s">
        <v>2155</v>
      </c>
      <c r="F534" s="4" t="s">
        <v>2156</v>
      </c>
      <c r="G534" s="4" t="n">
        <v>65</v>
      </c>
      <c r="H534" s="4" t="s">
        <v>359</v>
      </c>
      <c r="I534" s="22" t="n">
        <v>0.04</v>
      </c>
      <c r="J534" s="4" t="n">
        <v>50</v>
      </c>
      <c r="K534" s="4" t="n">
        <v>19</v>
      </c>
      <c r="L534" s="23" t="n">
        <f aca="false">IF(J534&gt;=5,K534/J534,"too few builds")</f>
        <v>0.38</v>
      </c>
      <c r="M534" s="22" t="n">
        <v>0</v>
      </c>
      <c r="N534" s="22" t="n">
        <v>0</v>
      </c>
      <c r="O534" s="4"/>
      <c r="P534" s="4"/>
      <c r="Q534" s="4"/>
      <c r="R534" s="4" t="s">
        <v>2157</v>
      </c>
    </row>
    <row r="535" customFormat="false" ht="15" hidden="false" customHeight="false" outlineLevel="0" collapsed="false">
      <c r="A535" s="4" t="s">
        <v>2158</v>
      </c>
      <c r="B535" s="4" t="s">
        <v>1341</v>
      </c>
      <c r="C535" s="4" t="s">
        <v>379</v>
      </c>
      <c r="D535" s="4" t="s">
        <v>359</v>
      </c>
      <c r="E535" s="4" t="s">
        <v>2159</v>
      </c>
      <c r="F535" s="4" t="s">
        <v>2159</v>
      </c>
      <c r="G535" s="4" t="n">
        <v>60</v>
      </c>
      <c r="H535" s="4" t="s">
        <v>359</v>
      </c>
      <c r="I535" s="22" t="n">
        <v>0.04</v>
      </c>
      <c r="J535" s="4" t="n">
        <v>24</v>
      </c>
      <c r="K535" s="4" t="n">
        <v>15</v>
      </c>
      <c r="L535" s="23" t="n">
        <f aca="false">IF(J535&gt;=5,K535/J535,"too few builds")</f>
        <v>0.625</v>
      </c>
      <c r="M535" s="22" t="n">
        <v>0</v>
      </c>
      <c r="N535" s="22" t="n">
        <v>0</v>
      </c>
      <c r="O535" s="4"/>
      <c r="P535" s="4" t="s">
        <v>2160</v>
      </c>
      <c r="Q535" s="4"/>
      <c r="R535" s="4" t="s">
        <v>2161</v>
      </c>
    </row>
    <row r="536" customFormat="false" ht="15" hidden="false" customHeight="false" outlineLevel="0" collapsed="false">
      <c r="A536" s="4" t="s">
        <v>2162</v>
      </c>
      <c r="B536" s="4" t="s">
        <v>413</v>
      </c>
      <c r="C536" s="4" t="s">
        <v>419</v>
      </c>
      <c r="D536" s="4" t="s">
        <v>359</v>
      </c>
      <c r="E536" s="4" t="s">
        <v>2163</v>
      </c>
      <c r="F536" s="4" t="s">
        <v>2163</v>
      </c>
      <c r="G536" s="4" t="n">
        <v>65</v>
      </c>
      <c r="H536" s="4" t="s">
        <v>359</v>
      </c>
      <c r="I536" s="22" t="n">
        <v>0.05</v>
      </c>
      <c r="J536" s="4" t="n">
        <v>46</v>
      </c>
      <c r="K536" s="4" t="n">
        <v>23</v>
      </c>
      <c r="L536" s="23" t="n">
        <f aca="false">IF(J536&gt;=5,K536/J536,"too few builds")</f>
        <v>0.5</v>
      </c>
      <c r="M536" s="22" t="n">
        <v>0</v>
      </c>
      <c r="N536" s="22" t="n">
        <v>0</v>
      </c>
      <c r="O536" s="4"/>
      <c r="P536" s="4"/>
      <c r="Q536" s="4"/>
      <c r="R536" s="4" t="s">
        <v>2164</v>
      </c>
    </row>
    <row r="537" customFormat="false" ht="15" hidden="false" customHeight="false" outlineLevel="0" collapsed="false">
      <c r="A537" s="4" t="s">
        <v>2165</v>
      </c>
      <c r="B537" s="4" t="s">
        <v>413</v>
      </c>
      <c r="C537" s="4" t="s">
        <v>379</v>
      </c>
      <c r="D537" s="4" t="s">
        <v>359</v>
      </c>
      <c r="E537" s="4" t="s">
        <v>2166</v>
      </c>
      <c r="F537" s="4" t="s">
        <v>2163</v>
      </c>
      <c r="G537" s="4" t="n">
        <v>65</v>
      </c>
      <c r="H537" s="4" t="s">
        <v>359</v>
      </c>
      <c r="I537" s="22" t="n">
        <v>0</v>
      </c>
      <c r="J537" s="4" t="n">
        <v>46</v>
      </c>
      <c r="K537" s="4" t="n">
        <v>4</v>
      </c>
      <c r="L537" s="23" t="n">
        <f aca="false">IF(J537&gt;=5,K537/J537,"too few builds")</f>
        <v>0.0869565217391304</v>
      </c>
      <c r="M537" s="22" t="n">
        <v>0</v>
      </c>
      <c r="N537" s="22" t="n">
        <v>0</v>
      </c>
      <c r="O537" s="4"/>
      <c r="P537" s="4"/>
      <c r="Q537" s="4"/>
      <c r="R537" s="4" t="s">
        <v>2167</v>
      </c>
    </row>
    <row r="538" customFormat="false" ht="15" hidden="false" customHeight="false" outlineLevel="0" collapsed="false">
      <c r="A538" s="4" t="s">
        <v>2168</v>
      </c>
      <c r="B538" s="4" t="s">
        <v>1560</v>
      </c>
      <c r="C538" s="4" t="s">
        <v>379</v>
      </c>
      <c r="D538" s="4" t="s">
        <v>359</v>
      </c>
      <c r="E538" s="4" t="s">
        <v>2169</v>
      </c>
      <c r="F538" s="4" t="s">
        <v>2169</v>
      </c>
      <c r="G538" s="4" t="n">
        <v>55</v>
      </c>
      <c r="H538" s="4" t="s">
        <v>359</v>
      </c>
      <c r="I538" s="22" t="n">
        <v>0.08</v>
      </c>
      <c r="J538" s="4" t="n">
        <v>51</v>
      </c>
      <c r="K538" s="4" t="n">
        <v>38</v>
      </c>
      <c r="L538" s="23" t="n">
        <f aca="false">IF(J538&gt;=5,K538/J538,"too few builds")</f>
        <v>0.745098039215686</v>
      </c>
      <c r="M538" s="22" t="n">
        <v>0</v>
      </c>
      <c r="N538" s="22" t="n">
        <v>0</v>
      </c>
      <c r="O538" s="4"/>
      <c r="P538" s="4"/>
      <c r="Q538" s="4"/>
      <c r="R538" s="4" t="s">
        <v>2170</v>
      </c>
    </row>
    <row r="539" customFormat="false" ht="15" hidden="false" customHeight="false" outlineLevel="0" collapsed="false">
      <c r="A539" s="4" t="s">
        <v>2171</v>
      </c>
      <c r="B539" s="4" t="s">
        <v>2172</v>
      </c>
      <c r="C539" s="4" t="s">
        <v>379</v>
      </c>
      <c r="D539" s="4" t="s">
        <v>359</v>
      </c>
      <c r="E539" s="4" t="s">
        <v>2173</v>
      </c>
      <c r="F539" s="4" t="s">
        <v>790</v>
      </c>
      <c r="G539" s="4" t="n">
        <v>25</v>
      </c>
      <c r="H539" s="4" t="s">
        <v>359</v>
      </c>
      <c r="I539" s="22" t="n">
        <v>0</v>
      </c>
      <c r="J539" s="4" t="n">
        <v>481</v>
      </c>
      <c r="K539" s="4" t="n">
        <v>12</v>
      </c>
      <c r="L539" s="23" t="n">
        <f aca="false">IF(J539&gt;=5,K539/J539,"too few builds")</f>
        <v>0.024948024948025</v>
      </c>
      <c r="M539" s="22" t="n">
        <v>0</v>
      </c>
      <c r="N539" s="22" t="n">
        <v>0</v>
      </c>
      <c r="O539" s="4"/>
      <c r="P539" s="4" t="s">
        <v>1141</v>
      </c>
      <c r="Q539" s="4"/>
      <c r="R539" s="4" t="s">
        <v>2174</v>
      </c>
    </row>
    <row r="540" customFormat="false" ht="15" hidden="false" customHeight="false" outlineLevel="0" collapsed="false">
      <c r="A540" s="4" t="s">
        <v>2175</v>
      </c>
      <c r="B540" s="4" t="s">
        <v>1576</v>
      </c>
      <c r="C540" s="4" t="s">
        <v>379</v>
      </c>
      <c r="D540" s="4" t="s">
        <v>359</v>
      </c>
      <c r="E540" s="4" t="s">
        <v>2176</v>
      </c>
      <c r="F540" s="4" t="s">
        <v>2176</v>
      </c>
      <c r="G540" s="4" t="n">
        <v>20</v>
      </c>
      <c r="H540" s="4" t="s">
        <v>359</v>
      </c>
      <c r="I540" s="22" t="n">
        <v>0.12</v>
      </c>
      <c r="J540" s="4" t="n">
        <v>337</v>
      </c>
      <c r="K540" s="4" t="n">
        <v>56</v>
      </c>
      <c r="L540" s="23" t="n">
        <f aca="false">IF(J540&gt;=5,K540/J540,"too few builds")</f>
        <v>0.166172106824926</v>
      </c>
      <c r="M540" s="22" t="n">
        <v>0</v>
      </c>
      <c r="N540" s="22" t="n">
        <v>0</v>
      </c>
      <c r="O540" s="4"/>
      <c r="P540" s="4"/>
      <c r="Q540" s="4"/>
      <c r="R540" s="4" t="s">
        <v>2177</v>
      </c>
    </row>
    <row r="541" customFormat="false" ht="15" hidden="false" customHeight="false" outlineLevel="0" collapsed="false">
      <c r="A541" s="4" t="s">
        <v>2178</v>
      </c>
      <c r="B541" s="4" t="s">
        <v>838</v>
      </c>
      <c r="C541" s="4" t="s">
        <v>379</v>
      </c>
      <c r="D541" s="4" t="s">
        <v>359</v>
      </c>
      <c r="E541" s="4" t="s">
        <v>2179</v>
      </c>
      <c r="F541" s="4" t="s">
        <v>2179</v>
      </c>
      <c r="G541" s="4" t="n">
        <v>60</v>
      </c>
      <c r="H541" s="4" t="s">
        <v>359</v>
      </c>
      <c r="I541" s="22" t="n">
        <v>0.16</v>
      </c>
      <c r="J541" s="4" t="n">
        <v>125</v>
      </c>
      <c r="K541" s="4" t="n">
        <v>70</v>
      </c>
      <c r="L541" s="23" t="n">
        <f aca="false">IF(J541&gt;=5,K541/J541,"too few builds")</f>
        <v>0.56</v>
      </c>
      <c r="M541" s="22" t="n">
        <v>0</v>
      </c>
      <c r="N541" s="22" t="n">
        <v>0</v>
      </c>
      <c r="O541" s="4"/>
      <c r="P541" s="4" t="s">
        <v>2180</v>
      </c>
      <c r="Q541" s="4"/>
      <c r="R541" s="4" t="s">
        <v>2181</v>
      </c>
    </row>
    <row r="542" customFormat="false" ht="15" hidden="false" customHeight="false" outlineLevel="0" collapsed="false">
      <c r="A542" s="4" t="s">
        <v>2182</v>
      </c>
      <c r="B542" s="4" t="s">
        <v>522</v>
      </c>
      <c r="C542" s="4" t="s">
        <v>379</v>
      </c>
      <c r="D542" s="4" t="s">
        <v>359</v>
      </c>
      <c r="E542" s="4" t="s">
        <v>2183</v>
      </c>
      <c r="F542" s="4" t="s">
        <v>371</v>
      </c>
      <c r="G542" s="4" t="n">
        <v>0</v>
      </c>
      <c r="H542" s="4" t="s">
        <v>369</v>
      </c>
      <c r="I542" s="22" t="n">
        <v>0.68</v>
      </c>
      <c r="J542" s="4" t="n">
        <v>500</v>
      </c>
      <c r="K542" s="4" t="n">
        <v>331</v>
      </c>
      <c r="L542" s="23" t="n">
        <f aca="false">IF(J542&gt;=5,K542/J542,"too few builds")</f>
        <v>0.662</v>
      </c>
      <c r="M542" s="22" t="n">
        <v>0</v>
      </c>
      <c r="N542" s="22" t="n">
        <v>0</v>
      </c>
      <c r="O542" s="4"/>
      <c r="P542" s="4"/>
      <c r="Q542" s="4"/>
      <c r="R542" s="4" t="s">
        <v>2184</v>
      </c>
    </row>
    <row r="543" customFormat="false" ht="15" hidden="false" customHeight="false" outlineLevel="0" collapsed="false">
      <c r="A543" s="4" t="s">
        <v>2185</v>
      </c>
      <c r="B543" s="4" t="s">
        <v>1447</v>
      </c>
      <c r="C543" s="4" t="s">
        <v>379</v>
      </c>
      <c r="D543" s="4" t="s">
        <v>359</v>
      </c>
      <c r="E543" s="4" t="s">
        <v>2186</v>
      </c>
      <c r="F543" s="4" t="s">
        <v>2186</v>
      </c>
      <c r="G543" s="4" t="n">
        <v>80</v>
      </c>
      <c r="H543" s="4" t="s">
        <v>359</v>
      </c>
      <c r="I543" s="22" t="n">
        <v>0</v>
      </c>
      <c r="J543" s="4" t="n">
        <v>87</v>
      </c>
      <c r="K543" s="4" t="n">
        <v>1</v>
      </c>
      <c r="L543" s="23" t="n">
        <f aca="false">IF(J543&gt;=5,K543/J543,"too few builds")</f>
        <v>0.0114942528735632</v>
      </c>
      <c r="M543" s="22" t="n">
        <v>0</v>
      </c>
      <c r="N543" s="22" t="n">
        <v>0</v>
      </c>
      <c r="O543" s="4"/>
      <c r="P543" s="4"/>
      <c r="Q543" s="4"/>
      <c r="R543" s="4"/>
    </row>
    <row r="544" customFormat="false" ht="15" hidden="false" customHeight="false" outlineLevel="0" collapsed="false">
      <c r="A544" s="4" t="s">
        <v>2187</v>
      </c>
      <c r="B544" s="4" t="s">
        <v>418</v>
      </c>
      <c r="C544" s="4" t="s">
        <v>419</v>
      </c>
      <c r="D544" s="4" t="s">
        <v>359</v>
      </c>
      <c r="E544" s="4" t="s">
        <v>2188</v>
      </c>
      <c r="F544" s="4" t="s">
        <v>2189</v>
      </c>
      <c r="G544" s="4" t="n">
        <v>50</v>
      </c>
      <c r="H544" s="4" t="s">
        <v>359</v>
      </c>
      <c r="I544" s="22" t="n">
        <v>0.07</v>
      </c>
      <c r="J544" s="4" t="n">
        <v>72</v>
      </c>
      <c r="K544" s="4" t="n">
        <v>24</v>
      </c>
      <c r="L544" s="23" t="n">
        <f aca="false">IF(J544&gt;=5,K544/J544,"too few builds")</f>
        <v>0.333333333333333</v>
      </c>
      <c r="M544" s="22" t="n">
        <v>0</v>
      </c>
      <c r="N544" s="22" t="n">
        <v>0</v>
      </c>
      <c r="O544" s="4"/>
      <c r="P544" s="4"/>
      <c r="Q544" s="4"/>
      <c r="R544" s="4" t="s">
        <v>2190</v>
      </c>
    </row>
    <row r="545" customFormat="false" ht="15" hidden="false" customHeight="false" outlineLevel="0" collapsed="false">
      <c r="A545" s="4" t="s">
        <v>2191</v>
      </c>
      <c r="B545" s="4" t="s">
        <v>1612</v>
      </c>
      <c r="C545" s="4" t="s">
        <v>379</v>
      </c>
      <c r="D545" s="4" t="s">
        <v>359</v>
      </c>
      <c r="E545" s="4" t="s">
        <v>2192</v>
      </c>
      <c r="F545" s="4" t="s">
        <v>2192</v>
      </c>
      <c r="G545" s="4" t="n">
        <v>80</v>
      </c>
      <c r="H545" s="4" t="s">
        <v>359</v>
      </c>
      <c r="I545" s="22" t="n">
        <v>0</v>
      </c>
      <c r="J545" s="4" t="n">
        <v>105</v>
      </c>
      <c r="K545" s="4" t="n">
        <v>2</v>
      </c>
      <c r="L545" s="23" t="n">
        <f aca="false">IF(J545&gt;=5,K545/J545,"too few builds")</f>
        <v>0.0190476190476191</v>
      </c>
      <c r="M545" s="22" t="n">
        <v>0</v>
      </c>
      <c r="N545" s="22" t="n">
        <v>0</v>
      </c>
      <c r="O545" s="4"/>
      <c r="P545" s="4"/>
      <c r="Q545" s="4"/>
      <c r="R545" s="4" t="s">
        <v>2193</v>
      </c>
    </row>
    <row r="546" customFormat="false" ht="15" hidden="false" customHeight="false" outlineLevel="0" collapsed="false">
      <c r="A546" s="4" t="s">
        <v>2194</v>
      </c>
      <c r="B546" s="4" t="s">
        <v>2195</v>
      </c>
      <c r="C546" s="4" t="s">
        <v>379</v>
      </c>
      <c r="D546" s="4" t="s">
        <v>359</v>
      </c>
      <c r="E546" s="4" t="s">
        <v>2196</v>
      </c>
      <c r="F546" s="4" t="s">
        <v>2197</v>
      </c>
      <c r="G546" s="4" t="n">
        <v>125</v>
      </c>
      <c r="H546" s="4" t="s">
        <v>359</v>
      </c>
      <c r="I546" s="22" t="n">
        <v>0</v>
      </c>
      <c r="J546" s="4" t="n">
        <v>9</v>
      </c>
      <c r="K546" s="4" t="n">
        <v>4</v>
      </c>
      <c r="L546" s="23" t="n">
        <f aca="false">IF(J546&gt;=5,K546/J546,"too few builds")</f>
        <v>0.444444444444444</v>
      </c>
      <c r="M546" s="22" t="n">
        <v>0</v>
      </c>
      <c r="N546" s="22" t="n">
        <v>0</v>
      </c>
      <c r="O546" s="4"/>
      <c r="P546" s="4"/>
      <c r="Q546" s="4"/>
      <c r="R546" s="4" t="s">
        <v>2198</v>
      </c>
    </row>
    <row r="547" customFormat="false" ht="15" hidden="false" customHeight="false" outlineLevel="0" collapsed="false">
      <c r="A547" s="4" t="s">
        <v>2199</v>
      </c>
      <c r="B547" s="4" t="s">
        <v>374</v>
      </c>
      <c r="C547" s="4" t="s">
        <v>332</v>
      </c>
      <c r="D547" s="4" t="s">
        <v>369</v>
      </c>
      <c r="E547" s="4" t="s">
        <v>375</v>
      </c>
      <c r="F547" s="4" t="s">
        <v>371</v>
      </c>
      <c r="G547" s="4" t="n">
        <v>0</v>
      </c>
      <c r="H547" s="4" t="s">
        <v>369</v>
      </c>
      <c r="I547" s="22" t="n">
        <v>0</v>
      </c>
      <c r="J547" s="4" t="n">
        <v>51</v>
      </c>
      <c r="K547" s="4" t="n">
        <v>20</v>
      </c>
      <c r="L547" s="23" t="n">
        <f aca="false">IF(J547&gt;=5,K547/J547,"too few builds")</f>
        <v>0.392156862745098</v>
      </c>
      <c r="M547" s="22" t="n">
        <v>0</v>
      </c>
      <c r="N547" s="22" t="n">
        <v>0</v>
      </c>
      <c r="O547" s="4"/>
      <c r="P547" s="4"/>
      <c r="Q547" s="4"/>
      <c r="R547" s="4" t="s">
        <v>2200</v>
      </c>
    </row>
    <row r="548" customFormat="false" ht="15" hidden="false" customHeight="false" outlineLevel="0" collapsed="false">
      <c r="A548" s="4" t="s">
        <v>2201</v>
      </c>
      <c r="B548" s="4" t="s">
        <v>413</v>
      </c>
      <c r="C548" s="4" t="s">
        <v>379</v>
      </c>
      <c r="D548" s="4" t="s">
        <v>359</v>
      </c>
      <c r="E548" s="4" t="s">
        <v>468</v>
      </c>
      <c r="F548" s="4" t="s">
        <v>468</v>
      </c>
      <c r="G548" s="4" t="n">
        <v>35</v>
      </c>
      <c r="H548" s="4" t="s">
        <v>359</v>
      </c>
      <c r="I548" s="22" t="n">
        <v>0</v>
      </c>
      <c r="J548" s="4" t="n">
        <v>85</v>
      </c>
      <c r="K548" s="4" t="n">
        <v>14</v>
      </c>
      <c r="L548" s="23" t="n">
        <f aca="false">IF(J548&gt;=5,K548/J548,"too few builds")</f>
        <v>0.164705882352941</v>
      </c>
      <c r="M548" s="22" t="n">
        <v>0</v>
      </c>
      <c r="N548" s="22" t="n">
        <v>0</v>
      </c>
      <c r="O548" s="4"/>
      <c r="P548" s="4"/>
      <c r="Q548" s="4"/>
      <c r="R548" s="4"/>
    </row>
    <row r="549" customFormat="false" ht="15" hidden="false" customHeight="false" outlineLevel="0" collapsed="false">
      <c r="A549" s="4" t="s">
        <v>2202</v>
      </c>
      <c r="B549" s="4" t="s">
        <v>432</v>
      </c>
      <c r="C549" s="4" t="s">
        <v>379</v>
      </c>
      <c r="D549" s="4" t="s">
        <v>369</v>
      </c>
      <c r="E549" s="4" t="s">
        <v>1925</v>
      </c>
      <c r="F549" s="4" t="s">
        <v>1925</v>
      </c>
      <c r="G549" s="4" t="n">
        <v>75</v>
      </c>
      <c r="H549" s="4" t="s">
        <v>359</v>
      </c>
      <c r="I549" s="22" t="n">
        <v>0.07</v>
      </c>
      <c r="J549" s="4" t="n">
        <v>87</v>
      </c>
      <c r="K549" s="4" t="n">
        <v>36</v>
      </c>
      <c r="L549" s="23" t="n">
        <f aca="false">IF(J549&gt;=5,K549/J549,"too few builds")</f>
        <v>0.413793103448276</v>
      </c>
      <c r="M549" s="22" t="n">
        <v>0</v>
      </c>
      <c r="N549" s="22" t="n">
        <v>0</v>
      </c>
      <c r="O549" s="4"/>
      <c r="P549" s="4"/>
      <c r="Q549" s="4"/>
      <c r="R549" s="4"/>
    </row>
    <row r="550" customFormat="false" ht="15" hidden="false" customHeight="false" outlineLevel="0" collapsed="false">
      <c r="A550" s="4" t="s">
        <v>2203</v>
      </c>
      <c r="B550" s="4" t="s">
        <v>1483</v>
      </c>
      <c r="C550" s="4" t="s">
        <v>332</v>
      </c>
      <c r="D550" s="4" t="s">
        <v>369</v>
      </c>
      <c r="E550" s="4" t="s">
        <v>1484</v>
      </c>
      <c r="F550" s="4" t="s">
        <v>371</v>
      </c>
      <c r="G550" s="4" t="n">
        <v>0</v>
      </c>
      <c r="H550" s="4" t="s">
        <v>369</v>
      </c>
      <c r="I550" s="22" t="n">
        <v>0</v>
      </c>
      <c r="J550" s="4" t="n">
        <v>21</v>
      </c>
      <c r="K550" s="4" t="n">
        <v>6</v>
      </c>
      <c r="L550" s="23" t="n">
        <f aca="false">IF(J550&gt;=5,K550/J550,"too few builds")</f>
        <v>0.285714285714286</v>
      </c>
      <c r="M550" s="22" t="n">
        <v>0</v>
      </c>
      <c r="N550" s="22" t="n">
        <v>0</v>
      </c>
      <c r="O550" s="4"/>
      <c r="P550" s="4"/>
      <c r="Q550" s="4"/>
      <c r="R550" s="4" t="s">
        <v>2204</v>
      </c>
    </row>
    <row r="551" customFormat="false" ht="15" hidden="false" customHeight="false" outlineLevel="0" collapsed="false">
      <c r="A551" s="4" t="s">
        <v>2205</v>
      </c>
      <c r="B551" s="4" t="s">
        <v>838</v>
      </c>
      <c r="C551" s="4" t="s">
        <v>379</v>
      </c>
      <c r="D551" s="4" t="s">
        <v>359</v>
      </c>
      <c r="E551" s="4" t="s">
        <v>2206</v>
      </c>
      <c r="F551" s="4" t="s">
        <v>2206</v>
      </c>
      <c r="G551" s="4" t="n">
        <v>60</v>
      </c>
      <c r="H551" s="4" t="s">
        <v>359</v>
      </c>
      <c r="I551" s="22" t="n">
        <v>0.08</v>
      </c>
      <c r="J551" s="4" t="n">
        <v>116</v>
      </c>
      <c r="K551" s="4" t="n">
        <v>39</v>
      </c>
      <c r="L551" s="23" t="n">
        <f aca="false">IF(J551&gt;=5,K551/J551,"too few builds")</f>
        <v>0.336206896551724</v>
      </c>
      <c r="M551" s="22" t="n">
        <v>0</v>
      </c>
      <c r="N551" s="22" t="n">
        <v>0</v>
      </c>
      <c r="O551" s="4"/>
      <c r="P551" s="4"/>
      <c r="Q551" s="4"/>
      <c r="R551" s="4" t="s">
        <v>2207</v>
      </c>
    </row>
    <row r="552" customFormat="false" ht="15" hidden="false" customHeight="false" outlineLevel="0" collapsed="false">
      <c r="A552" s="4" t="s">
        <v>2208</v>
      </c>
      <c r="B552" s="4" t="s">
        <v>838</v>
      </c>
      <c r="C552" s="4" t="s">
        <v>419</v>
      </c>
      <c r="D552" s="4" t="s">
        <v>359</v>
      </c>
      <c r="E552" s="4" t="s">
        <v>2209</v>
      </c>
      <c r="F552" s="4" t="s">
        <v>2209</v>
      </c>
      <c r="G552" s="4" t="n">
        <v>40</v>
      </c>
      <c r="H552" s="4" t="s">
        <v>359</v>
      </c>
      <c r="I552" s="22" t="n">
        <v>0.19</v>
      </c>
      <c r="J552" s="4" t="n">
        <v>347</v>
      </c>
      <c r="K552" s="4" t="n">
        <v>92</v>
      </c>
      <c r="L552" s="23" t="n">
        <f aca="false">IF(J552&gt;=5,K552/J552,"too few builds")</f>
        <v>0.265129682997118</v>
      </c>
      <c r="M552" s="22" t="n">
        <v>0</v>
      </c>
      <c r="N552" s="22" t="n">
        <v>0</v>
      </c>
      <c r="O552" s="4"/>
      <c r="P552" s="4" t="s">
        <v>2210</v>
      </c>
      <c r="Q552" s="4"/>
      <c r="R552" s="4" t="s">
        <v>2211</v>
      </c>
    </row>
    <row r="553" customFormat="false" ht="15" hidden="false" customHeight="false" outlineLevel="0" collapsed="false">
      <c r="A553" s="4" t="s">
        <v>2212</v>
      </c>
      <c r="B553" s="4" t="s">
        <v>450</v>
      </c>
      <c r="C553" s="4" t="s">
        <v>379</v>
      </c>
      <c r="D553" s="4" t="s">
        <v>359</v>
      </c>
      <c r="E553" s="4" t="s">
        <v>2213</v>
      </c>
      <c r="F553" s="4" t="s">
        <v>1273</v>
      </c>
      <c r="G553" s="4" t="n">
        <v>50</v>
      </c>
      <c r="H553" s="4" t="s">
        <v>359</v>
      </c>
      <c r="I553" s="22" t="n">
        <v>0.06</v>
      </c>
      <c r="J553" s="4" t="n">
        <v>99</v>
      </c>
      <c r="K553" s="4" t="n">
        <v>33</v>
      </c>
      <c r="L553" s="23" t="n">
        <f aca="false">IF(J553&gt;=5,K553/J553,"too few builds")</f>
        <v>0.333333333333333</v>
      </c>
      <c r="M553" s="22" t="n">
        <v>0</v>
      </c>
      <c r="N553" s="22" t="n">
        <v>0</v>
      </c>
      <c r="O553" s="4"/>
      <c r="P553" s="4" t="s">
        <v>2214</v>
      </c>
      <c r="Q553" s="4"/>
      <c r="R553" s="4" t="s">
        <v>2215</v>
      </c>
    </row>
    <row r="554" customFormat="false" ht="15" hidden="false" customHeight="false" outlineLevel="0" collapsed="false">
      <c r="A554" s="4" t="s">
        <v>2216</v>
      </c>
      <c r="B554" s="4" t="s">
        <v>974</v>
      </c>
      <c r="C554" s="4" t="s">
        <v>379</v>
      </c>
      <c r="D554" s="4" t="s">
        <v>359</v>
      </c>
      <c r="E554" s="4" t="s">
        <v>2217</v>
      </c>
      <c r="F554" s="4" t="s">
        <v>2217</v>
      </c>
      <c r="G554" s="4" t="n">
        <v>35</v>
      </c>
      <c r="H554" s="4" t="s">
        <v>359</v>
      </c>
      <c r="I554" s="22" t="n">
        <v>0.08</v>
      </c>
      <c r="J554" s="4" t="n">
        <v>137</v>
      </c>
      <c r="K554" s="4" t="n">
        <v>46</v>
      </c>
      <c r="L554" s="23" t="n">
        <f aca="false">IF(J554&gt;=5,K554/J554,"too few builds")</f>
        <v>0.335766423357664</v>
      </c>
      <c r="M554" s="22" t="n">
        <v>0</v>
      </c>
      <c r="N554" s="22" t="n">
        <v>0</v>
      </c>
      <c r="O554" s="4"/>
      <c r="P554" s="4"/>
      <c r="Q554" s="4"/>
      <c r="R554" s="4" t="s">
        <v>2218</v>
      </c>
    </row>
    <row r="555" customFormat="false" ht="15" hidden="false" customHeight="false" outlineLevel="0" collapsed="false">
      <c r="A555" s="4" t="s">
        <v>2219</v>
      </c>
      <c r="B555" s="4" t="s">
        <v>418</v>
      </c>
      <c r="C555" s="4" t="s">
        <v>379</v>
      </c>
      <c r="D555" s="4" t="s">
        <v>359</v>
      </c>
      <c r="E555" s="4" t="s">
        <v>2189</v>
      </c>
      <c r="F555" s="4" t="s">
        <v>2189</v>
      </c>
      <c r="G555" s="4" t="n">
        <v>50</v>
      </c>
      <c r="H555" s="4" t="s">
        <v>359</v>
      </c>
      <c r="I555" s="22" t="n">
        <v>0.09</v>
      </c>
      <c r="J555" s="4" t="n">
        <v>72</v>
      </c>
      <c r="K555" s="4" t="n">
        <v>32</v>
      </c>
      <c r="L555" s="23" t="n">
        <f aca="false">IF(J555&gt;=5,K555/J555,"too few builds")</f>
        <v>0.444444444444444</v>
      </c>
      <c r="M555" s="22" t="n">
        <v>0</v>
      </c>
      <c r="N555" s="22" t="n">
        <v>0</v>
      </c>
      <c r="O555" s="4"/>
      <c r="P555" s="4"/>
      <c r="Q555" s="4"/>
      <c r="R555" s="4" t="s">
        <v>2220</v>
      </c>
    </row>
    <row r="556" customFormat="false" ht="15" hidden="false" customHeight="false" outlineLevel="0" collapsed="false">
      <c r="A556" s="4" t="s">
        <v>2221</v>
      </c>
      <c r="B556" s="4" t="s">
        <v>1175</v>
      </c>
      <c r="C556" s="4" t="s">
        <v>379</v>
      </c>
      <c r="D556" s="4" t="s">
        <v>359</v>
      </c>
      <c r="E556" s="4" t="s">
        <v>2222</v>
      </c>
      <c r="F556" s="4" t="s">
        <v>371</v>
      </c>
      <c r="G556" s="4" t="n">
        <v>0</v>
      </c>
      <c r="H556" s="4" t="s">
        <v>369</v>
      </c>
      <c r="I556" s="22" t="n">
        <v>0</v>
      </c>
      <c r="J556" s="4" t="n">
        <v>500</v>
      </c>
      <c r="K556" s="4" t="n">
        <v>9</v>
      </c>
      <c r="L556" s="23" t="n">
        <f aca="false">IF(J556&gt;=5,K556/J556,"too few builds")</f>
        <v>0.018</v>
      </c>
      <c r="M556" s="22" t="n">
        <v>0</v>
      </c>
      <c r="N556" s="22" t="n">
        <v>0</v>
      </c>
      <c r="O556" s="4"/>
      <c r="P556" s="4"/>
      <c r="Q556" s="4"/>
      <c r="R556" s="4" t="s">
        <v>2223</v>
      </c>
    </row>
    <row r="557" customFormat="false" ht="15" hidden="false" customHeight="false" outlineLevel="0" collapsed="false">
      <c r="A557" s="4" t="s">
        <v>2224</v>
      </c>
      <c r="B557" s="4" t="s">
        <v>747</v>
      </c>
      <c r="C557" s="4" t="s">
        <v>379</v>
      </c>
      <c r="D557" s="4" t="s">
        <v>359</v>
      </c>
      <c r="E557" s="4" t="s">
        <v>2225</v>
      </c>
      <c r="F557" s="4" t="s">
        <v>371</v>
      </c>
      <c r="G557" s="4" t="n">
        <v>0</v>
      </c>
      <c r="H557" s="4" t="s">
        <v>369</v>
      </c>
      <c r="I557" s="22" t="n">
        <v>0.15</v>
      </c>
      <c r="J557" s="4" t="n">
        <v>500</v>
      </c>
      <c r="K557" s="4" t="n">
        <v>71</v>
      </c>
      <c r="L557" s="23" t="n">
        <f aca="false">IF(J557&gt;=5,K557/J557,"too few builds")</f>
        <v>0.142</v>
      </c>
      <c r="M557" s="22" t="n">
        <v>0</v>
      </c>
      <c r="N557" s="22" t="n">
        <v>0</v>
      </c>
      <c r="O557" s="4"/>
      <c r="P557" s="4"/>
      <c r="Q557" s="4"/>
      <c r="R557" s="4" t="s">
        <v>2226</v>
      </c>
    </row>
    <row r="558" customFormat="false" ht="15" hidden="false" customHeight="false" outlineLevel="0" collapsed="false">
      <c r="A558" s="4" t="s">
        <v>2227</v>
      </c>
      <c r="B558" s="4" t="s">
        <v>584</v>
      </c>
      <c r="C558" s="4" t="s">
        <v>584</v>
      </c>
      <c r="D558" s="4" t="s">
        <v>369</v>
      </c>
      <c r="E558" s="4" t="s">
        <v>585</v>
      </c>
      <c r="F558" s="4" t="s">
        <v>371</v>
      </c>
      <c r="G558" s="4" t="n">
        <v>0</v>
      </c>
      <c r="H558" s="4" t="s">
        <v>369</v>
      </c>
      <c r="I558" s="22" t="n">
        <v>0</v>
      </c>
      <c r="J558" s="4" t="n">
        <v>500</v>
      </c>
      <c r="K558" s="4" t="n">
        <v>25</v>
      </c>
      <c r="L558" s="23" t="n">
        <f aca="false">IF(J558&gt;=5,K558/J558,"too few builds")</f>
        <v>0.05</v>
      </c>
      <c r="M558" s="22" t="n">
        <v>0</v>
      </c>
      <c r="N558" s="22" t="n">
        <v>0</v>
      </c>
      <c r="O558" s="4"/>
      <c r="P558" s="4"/>
      <c r="Q558" s="4"/>
      <c r="R558" s="4" t="s">
        <v>2228</v>
      </c>
    </row>
    <row r="559" customFormat="false" ht="15" hidden="false" customHeight="false" outlineLevel="0" collapsed="false">
      <c r="A559" s="4" t="s">
        <v>2229</v>
      </c>
      <c r="B559" s="4" t="s">
        <v>565</v>
      </c>
      <c r="C559" s="4" t="s">
        <v>379</v>
      </c>
      <c r="D559" s="4" t="s">
        <v>359</v>
      </c>
      <c r="E559" s="4" t="s">
        <v>2230</v>
      </c>
      <c r="F559" s="4" t="s">
        <v>2230</v>
      </c>
      <c r="G559" s="4" t="n">
        <v>40</v>
      </c>
      <c r="H559" s="4" t="s">
        <v>359</v>
      </c>
      <c r="I559" s="22" t="n">
        <v>0.07</v>
      </c>
      <c r="J559" s="4" t="n">
        <v>75</v>
      </c>
      <c r="K559" s="4" t="n">
        <v>29</v>
      </c>
      <c r="L559" s="23" t="n">
        <f aca="false">IF(J559&gt;=5,K559/J559,"too few builds")</f>
        <v>0.386666666666667</v>
      </c>
      <c r="M559" s="22" t="n">
        <v>0</v>
      </c>
      <c r="N559" s="22" t="n">
        <v>0</v>
      </c>
      <c r="O559" s="4"/>
      <c r="P559" s="4"/>
      <c r="Q559" s="4"/>
      <c r="R559" s="4" t="s">
        <v>2231</v>
      </c>
    </row>
    <row r="560" customFormat="false" ht="15" hidden="false" customHeight="false" outlineLevel="0" collapsed="false">
      <c r="A560" s="4" t="s">
        <v>2232</v>
      </c>
      <c r="B560" s="4" t="s">
        <v>1128</v>
      </c>
      <c r="C560" s="4" t="s">
        <v>379</v>
      </c>
      <c r="D560" s="4" t="s">
        <v>359</v>
      </c>
      <c r="E560" s="4" t="s">
        <v>1130</v>
      </c>
      <c r="F560" s="4" t="s">
        <v>1130</v>
      </c>
      <c r="G560" s="4" t="n">
        <v>15</v>
      </c>
      <c r="H560" s="4" t="s">
        <v>359</v>
      </c>
      <c r="I560" s="22" t="n">
        <v>0.79</v>
      </c>
      <c r="J560" s="4" t="n">
        <v>417</v>
      </c>
      <c r="K560" s="4" t="n">
        <v>385</v>
      </c>
      <c r="L560" s="23" t="n">
        <f aca="false">IF(J560&gt;=5,K560/J560,"too few builds")</f>
        <v>0.92326139088729</v>
      </c>
      <c r="M560" s="22" t="n">
        <v>0</v>
      </c>
      <c r="N560" s="22" t="n">
        <v>0</v>
      </c>
      <c r="O560" s="4"/>
      <c r="P560" s="4"/>
      <c r="Q560" s="4"/>
      <c r="R560" s="4" t="s">
        <v>2233</v>
      </c>
    </row>
    <row r="561" customFormat="false" ht="15" hidden="false" customHeight="false" outlineLevel="0" collapsed="false">
      <c r="A561" s="4" t="s">
        <v>2234</v>
      </c>
      <c r="B561" s="4" t="s">
        <v>1267</v>
      </c>
      <c r="C561" s="4" t="s">
        <v>379</v>
      </c>
      <c r="D561" s="4" t="s">
        <v>359</v>
      </c>
      <c r="E561" s="4" t="s">
        <v>1568</v>
      </c>
      <c r="F561" s="4" t="s">
        <v>1269</v>
      </c>
      <c r="G561" s="4" t="n">
        <v>40</v>
      </c>
      <c r="H561" s="4" t="s">
        <v>359</v>
      </c>
      <c r="I561" s="22" t="n">
        <v>0</v>
      </c>
      <c r="J561" s="4" t="n">
        <v>138</v>
      </c>
      <c r="K561" s="4" t="n">
        <v>17</v>
      </c>
      <c r="L561" s="23" t="n">
        <f aca="false">IF(J561&gt;=5,K561/J561,"too few builds")</f>
        <v>0.123188405797101</v>
      </c>
      <c r="M561" s="22" t="n">
        <v>0</v>
      </c>
      <c r="N561" s="22" t="n">
        <v>0</v>
      </c>
      <c r="O561" s="4"/>
      <c r="P561" s="4"/>
      <c r="Q561" s="4"/>
      <c r="R561" s="4"/>
    </row>
    <row r="562" customFormat="false" ht="15" hidden="false" customHeight="false" outlineLevel="0" collapsed="false">
      <c r="A562" s="4" t="s">
        <v>2235</v>
      </c>
      <c r="B562" s="4" t="s">
        <v>711</v>
      </c>
      <c r="C562" s="4" t="s">
        <v>358</v>
      </c>
      <c r="D562" s="4" t="s">
        <v>359</v>
      </c>
      <c r="E562" s="4" t="s">
        <v>2236</v>
      </c>
      <c r="F562" s="4" t="s">
        <v>2237</v>
      </c>
      <c r="G562" s="4" t="n">
        <v>100</v>
      </c>
      <c r="H562" s="4" t="s">
        <v>359</v>
      </c>
      <c r="I562" s="22" t="n">
        <v>0</v>
      </c>
      <c r="J562" s="4" t="n">
        <v>8</v>
      </c>
      <c r="K562" s="4" t="n">
        <v>7</v>
      </c>
      <c r="L562" s="23" t="n">
        <f aca="false">IF(J562&gt;=5,K562/J562,"too few builds")</f>
        <v>0.875</v>
      </c>
      <c r="M562" s="22" t="n">
        <v>0</v>
      </c>
      <c r="N562" s="22" t="n">
        <v>0</v>
      </c>
      <c r="O562" s="4"/>
      <c r="P562" s="4"/>
      <c r="Q562" s="4"/>
      <c r="R562" s="4" t="s">
        <v>2238</v>
      </c>
    </row>
    <row r="563" customFormat="false" ht="15" hidden="false" customHeight="false" outlineLevel="0" collapsed="false">
      <c r="A563" s="4" t="s">
        <v>2239</v>
      </c>
      <c r="B563" s="4" t="s">
        <v>1101</v>
      </c>
      <c r="C563" s="4" t="s">
        <v>332</v>
      </c>
      <c r="D563" s="4" t="s">
        <v>369</v>
      </c>
      <c r="E563" s="4" t="s">
        <v>1102</v>
      </c>
      <c r="F563" s="4" t="s">
        <v>371</v>
      </c>
      <c r="G563" s="4" t="n">
        <v>0</v>
      </c>
      <c r="H563" s="4" t="s">
        <v>369</v>
      </c>
      <c r="I563" s="22" t="n">
        <v>0</v>
      </c>
      <c r="J563" s="4" t="n">
        <v>12</v>
      </c>
      <c r="K563" s="4" t="n">
        <v>6</v>
      </c>
      <c r="L563" s="23" t="n">
        <f aca="false">IF(J563&gt;=5,K563/J563,"too few builds")</f>
        <v>0.5</v>
      </c>
      <c r="M563" s="22" t="n">
        <v>0</v>
      </c>
      <c r="N563" s="22" t="n">
        <v>0</v>
      </c>
      <c r="O563" s="4"/>
      <c r="P563" s="4"/>
      <c r="Q563" s="4"/>
      <c r="R563" s="4" t="s">
        <v>2240</v>
      </c>
    </row>
    <row r="564" customFormat="false" ht="15" hidden="false" customHeight="false" outlineLevel="0" collapsed="false">
      <c r="A564" s="4" t="s">
        <v>2241</v>
      </c>
      <c r="B564" s="4" t="s">
        <v>1612</v>
      </c>
      <c r="C564" s="4" t="s">
        <v>419</v>
      </c>
      <c r="D564" s="4" t="s">
        <v>359</v>
      </c>
      <c r="E564" s="4" t="s">
        <v>2242</v>
      </c>
      <c r="F564" s="4" t="s">
        <v>2242</v>
      </c>
      <c r="G564" s="4" t="n">
        <v>95</v>
      </c>
      <c r="H564" s="4" t="s">
        <v>359</v>
      </c>
      <c r="I564" s="22" t="n">
        <v>0</v>
      </c>
      <c r="J564" s="4" t="n">
        <v>33</v>
      </c>
      <c r="K564" s="4" t="n">
        <v>0</v>
      </c>
      <c r="L564" s="23" t="n">
        <f aca="false">IF(J564&gt;=5,K564/J564,"too few builds")</f>
        <v>0</v>
      </c>
      <c r="M564" s="22" t="n">
        <v>0</v>
      </c>
      <c r="N564" s="22" t="n">
        <v>0</v>
      </c>
      <c r="O564" s="4"/>
      <c r="P564" s="4"/>
      <c r="Q564" s="4"/>
      <c r="R564" s="4" t="s">
        <v>2243</v>
      </c>
    </row>
    <row r="565" customFormat="false" ht="15" hidden="false" customHeight="false" outlineLevel="0" collapsed="false">
      <c r="A565" s="4" t="s">
        <v>2244</v>
      </c>
      <c r="B565" s="4" t="s">
        <v>1414</v>
      </c>
      <c r="C565" s="4" t="s">
        <v>379</v>
      </c>
      <c r="D565" s="4" t="s">
        <v>359</v>
      </c>
      <c r="E565" s="4" t="s">
        <v>648</v>
      </c>
      <c r="F565" s="4" t="s">
        <v>648</v>
      </c>
      <c r="G565" s="4" t="n">
        <v>30</v>
      </c>
      <c r="H565" s="4" t="s">
        <v>359</v>
      </c>
      <c r="I565" s="22" t="n">
        <v>0.1</v>
      </c>
      <c r="J565" s="4" t="n">
        <v>87</v>
      </c>
      <c r="K565" s="4" t="n">
        <v>49</v>
      </c>
      <c r="L565" s="23" t="n">
        <f aca="false">IF(J565&gt;=5,K565/J565,"too few builds")</f>
        <v>0.563218390804598</v>
      </c>
      <c r="M565" s="22" t="n">
        <v>0</v>
      </c>
      <c r="N565" s="22" t="n">
        <v>0</v>
      </c>
      <c r="O565" s="4"/>
      <c r="P565" s="4"/>
      <c r="Q565" s="4"/>
      <c r="R565" s="4" t="s">
        <v>2245</v>
      </c>
    </row>
    <row r="566" customFormat="false" ht="15" hidden="false" customHeight="false" outlineLevel="0" collapsed="false">
      <c r="A566" s="4" t="s">
        <v>2246</v>
      </c>
      <c r="B566" s="4" t="s">
        <v>838</v>
      </c>
      <c r="C566" s="4" t="s">
        <v>419</v>
      </c>
      <c r="D566" s="4" t="s">
        <v>359</v>
      </c>
      <c r="E566" s="4" t="s">
        <v>921</v>
      </c>
      <c r="F566" s="4" t="s">
        <v>921</v>
      </c>
      <c r="G566" s="4" t="n">
        <v>60</v>
      </c>
      <c r="H566" s="4" t="s">
        <v>359</v>
      </c>
      <c r="I566" s="22" t="n">
        <v>0.19</v>
      </c>
      <c r="J566" s="4" t="n">
        <v>100</v>
      </c>
      <c r="K566" s="4" t="n">
        <v>87</v>
      </c>
      <c r="L566" s="23" t="n">
        <f aca="false">IF(J566&gt;=5,K566/J566,"too few builds")</f>
        <v>0.87</v>
      </c>
      <c r="M566" s="22" t="n">
        <v>0</v>
      </c>
      <c r="N566" s="22" t="n">
        <v>0</v>
      </c>
      <c r="O566" s="4"/>
      <c r="P566" s="4"/>
      <c r="Q566" s="4"/>
      <c r="R566" s="4" t="s">
        <v>2247</v>
      </c>
    </row>
    <row r="567" customFormat="false" ht="15" hidden="false" customHeight="false" outlineLevel="0" collapsed="false">
      <c r="A567" s="4" t="s">
        <v>2248</v>
      </c>
      <c r="B567" s="4" t="s">
        <v>1272</v>
      </c>
      <c r="C567" s="4" t="s">
        <v>379</v>
      </c>
      <c r="D567" s="4" t="s">
        <v>359</v>
      </c>
      <c r="E567" s="4" t="s">
        <v>1429</v>
      </c>
      <c r="F567" s="4" t="s">
        <v>1429</v>
      </c>
      <c r="G567" s="4" t="n">
        <v>20</v>
      </c>
      <c r="H567" s="4" t="s">
        <v>359</v>
      </c>
      <c r="I567" s="22" t="n">
        <v>0.05</v>
      </c>
      <c r="J567" s="4" t="n">
        <v>322</v>
      </c>
      <c r="K567" s="4" t="n">
        <v>24</v>
      </c>
      <c r="L567" s="23" t="n">
        <f aca="false">IF(J567&gt;=5,K567/J567,"too few builds")</f>
        <v>0.0745341614906832</v>
      </c>
      <c r="M567" s="22" t="n">
        <v>0</v>
      </c>
      <c r="N567" s="22" t="n">
        <v>0</v>
      </c>
      <c r="O567" s="4"/>
      <c r="P567" s="4"/>
      <c r="Q567" s="4"/>
      <c r="R567" s="4" t="s">
        <v>2249</v>
      </c>
    </row>
    <row r="568" customFormat="false" ht="15" hidden="false" customHeight="false" outlineLevel="0" collapsed="false">
      <c r="A568" s="4" t="s">
        <v>2250</v>
      </c>
      <c r="B568" s="4" t="s">
        <v>527</v>
      </c>
      <c r="C568" s="4" t="s">
        <v>379</v>
      </c>
      <c r="D568" s="4" t="s">
        <v>359</v>
      </c>
      <c r="E568" s="4" t="s">
        <v>989</v>
      </c>
      <c r="F568" s="4" t="s">
        <v>989</v>
      </c>
      <c r="G568" s="4" t="n">
        <v>50</v>
      </c>
      <c r="H568" s="4" t="s">
        <v>359</v>
      </c>
      <c r="I568" s="22" t="n">
        <v>0</v>
      </c>
      <c r="J568" s="4" t="n">
        <v>126</v>
      </c>
      <c r="K568" s="4" t="n">
        <v>3</v>
      </c>
      <c r="L568" s="23" t="n">
        <f aca="false">IF(J568&gt;=5,K568/J568,"too few builds")</f>
        <v>0.0238095238095238</v>
      </c>
      <c r="M568" s="22" t="n">
        <v>0</v>
      </c>
      <c r="N568" s="22" t="n">
        <v>0</v>
      </c>
      <c r="O568" s="4"/>
      <c r="P568" s="4"/>
      <c r="Q568" s="4"/>
      <c r="R568" s="4"/>
    </row>
    <row r="569" customFormat="false" ht="15" hidden="false" customHeight="false" outlineLevel="0" collapsed="false">
      <c r="A569" s="4" t="s">
        <v>2251</v>
      </c>
      <c r="B569" s="4" t="s">
        <v>2252</v>
      </c>
      <c r="C569" s="4" t="s">
        <v>379</v>
      </c>
      <c r="D569" s="4" t="s">
        <v>359</v>
      </c>
      <c r="E569" s="4" t="s">
        <v>2253</v>
      </c>
      <c r="F569" s="4" t="s">
        <v>2254</v>
      </c>
      <c r="G569" s="4" t="n">
        <v>80</v>
      </c>
      <c r="H569" s="4" t="s">
        <v>359</v>
      </c>
      <c r="I569" s="22" t="n">
        <v>0</v>
      </c>
      <c r="J569" s="4" t="n">
        <v>35</v>
      </c>
      <c r="K569" s="4" t="n">
        <v>10</v>
      </c>
      <c r="L569" s="23" t="n">
        <f aca="false">IF(J569&gt;=5,K569/J569,"too few builds")</f>
        <v>0.285714285714286</v>
      </c>
      <c r="M569" s="22" t="n">
        <v>0</v>
      </c>
      <c r="N569" s="22" t="n">
        <v>0</v>
      </c>
      <c r="O569" s="4"/>
      <c r="P569" s="4"/>
      <c r="Q569" s="4"/>
      <c r="R569" s="4" t="s">
        <v>2255</v>
      </c>
    </row>
    <row r="570" customFormat="false" ht="15" hidden="false" customHeight="false" outlineLevel="0" collapsed="false">
      <c r="A570" s="4" t="s">
        <v>2256</v>
      </c>
      <c r="B570" s="4" t="s">
        <v>1542</v>
      </c>
      <c r="C570" s="4" t="s">
        <v>379</v>
      </c>
      <c r="D570" s="4" t="s">
        <v>359</v>
      </c>
      <c r="E570" s="4" t="s">
        <v>2257</v>
      </c>
      <c r="F570" s="4" t="s">
        <v>2257</v>
      </c>
      <c r="G570" s="4" t="n">
        <v>30</v>
      </c>
      <c r="H570" s="4" t="s">
        <v>359</v>
      </c>
      <c r="I570" s="22" t="n">
        <v>0.21</v>
      </c>
      <c r="J570" s="4" t="n">
        <v>381</v>
      </c>
      <c r="K570" s="4" t="n">
        <v>105</v>
      </c>
      <c r="L570" s="23" t="n">
        <f aca="false">IF(J570&gt;=5,K570/J570,"too few builds")</f>
        <v>0.275590551181102</v>
      </c>
      <c r="M570" s="22" t="n">
        <v>0</v>
      </c>
      <c r="N570" s="22" t="n">
        <v>0</v>
      </c>
      <c r="O570" s="4"/>
      <c r="P570" s="4"/>
      <c r="Q570" s="4"/>
      <c r="R570" s="4" t="s">
        <v>2258</v>
      </c>
    </row>
    <row r="571" customFormat="false" ht="15" hidden="false" customHeight="false" outlineLevel="0" collapsed="false">
      <c r="A571" s="4" t="s">
        <v>2259</v>
      </c>
      <c r="B571" s="4" t="s">
        <v>827</v>
      </c>
      <c r="C571" s="4" t="s">
        <v>379</v>
      </c>
      <c r="D571" s="4" t="s">
        <v>359</v>
      </c>
      <c r="E571" s="4" t="s">
        <v>1604</v>
      </c>
      <c r="F571" s="4" t="s">
        <v>1604</v>
      </c>
      <c r="G571" s="4" t="n">
        <v>35</v>
      </c>
      <c r="H571" s="4" t="s">
        <v>359</v>
      </c>
      <c r="I571" s="22" t="n">
        <v>0.22</v>
      </c>
      <c r="J571" s="4" t="n">
        <v>318</v>
      </c>
      <c r="K571" s="4" t="n">
        <v>106</v>
      </c>
      <c r="L571" s="23" t="n">
        <f aca="false">IF(J571&gt;=5,K571/J571,"too few builds")</f>
        <v>0.333333333333333</v>
      </c>
      <c r="M571" s="22" t="n">
        <v>0</v>
      </c>
      <c r="N571" s="22" t="n">
        <v>0</v>
      </c>
      <c r="O571" s="4"/>
      <c r="P571" s="4"/>
      <c r="Q571" s="4"/>
      <c r="R571" s="4" t="s">
        <v>2260</v>
      </c>
    </row>
    <row r="572" customFormat="false" ht="15" hidden="false" customHeight="false" outlineLevel="0" collapsed="false">
      <c r="A572" s="4" t="s">
        <v>2261</v>
      </c>
      <c r="B572" s="4" t="s">
        <v>938</v>
      </c>
      <c r="C572" s="4" t="s">
        <v>419</v>
      </c>
      <c r="D572" s="4" t="s">
        <v>359</v>
      </c>
      <c r="E572" s="4" t="s">
        <v>2262</v>
      </c>
      <c r="F572" s="4" t="s">
        <v>890</v>
      </c>
      <c r="G572" s="4" t="n">
        <v>60</v>
      </c>
      <c r="H572" s="4" t="s">
        <v>359</v>
      </c>
      <c r="I572" s="22" t="n">
        <v>0.1</v>
      </c>
      <c r="J572" s="4" t="n">
        <v>77</v>
      </c>
      <c r="K572" s="4" t="n">
        <v>50</v>
      </c>
      <c r="L572" s="23" t="n">
        <f aca="false">IF(J572&gt;=5,K572/J572,"too few builds")</f>
        <v>0.649350649350649</v>
      </c>
      <c r="M572" s="22" t="n">
        <v>0</v>
      </c>
      <c r="N572" s="22" t="n">
        <v>0</v>
      </c>
      <c r="O572" s="4"/>
      <c r="P572" s="4" t="s">
        <v>2048</v>
      </c>
      <c r="Q572" s="4" t="s">
        <v>1104</v>
      </c>
      <c r="R572" s="4" t="s">
        <v>2263</v>
      </c>
    </row>
    <row r="573" customFormat="false" ht="15" hidden="false" customHeight="false" outlineLevel="0" collapsed="false">
      <c r="A573" s="4" t="s">
        <v>2264</v>
      </c>
      <c r="B573" s="4" t="s">
        <v>1077</v>
      </c>
      <c r="C573" s="4" t="s">
        <v>358</v>
      </c>
      <c r="D573" s="4" t="s">
        <v>359</v>
      </c>
      <c r="E573" s="4" t="s">
        <v>2265</v>
      </c>
      <c r="F573" s="4" t="s">
        <v>2266</v>
      </c>
      <c r="G573" s="4" t="n">
        <v>100</v>
      </c>
      <c r="H573" s="4" t="s">
        <v>359</v>
      </c>
      <c r="I573" s="22" t="n">
        <v>0</v>
      </c>
      <c r="J573" s="4" t="n">
        <v>19</v>
      </c>
      <c r="K573" s="4" t="n">
        <v>10</v>
      </c>
      <c r="L573" s="23" t="n">
        <f aca="false">IF(J573&gt;=5,K573/J573,"too few builds")</f>
        <v>0.526315789473684</v>
      </c>
      <c r="M573" s="22" t="n">
        <v>0</v>
      </c>
      <c r="N573" s="22" t="n">
        <v>0</v>
      </c>
      <c r="O573" s="4"/>
      <c r="P573" s="4"/>
      <c r="Q573" s="4"/>
      <c r="R573" s="4" t="s">
        <v>2267</v>
      </c>
    </row>
    <row r="574" customFormat="false" ht="15" hidden="false" customHeight="false" outlineLevel="0" collapsed="false">
      <c r="A574" s="4" t="s">
        <v>2268</v>
      </c>
      <c r="B574" s="4" t="s">
        <v>403</v>
      </c>
      <c r="C574" s="4" t="s">
        <v>379</v>
      </c>
      <c r="D574" s="4" t="s">
        <v>359</v>
      </c>
      <c r="E574" s="4" t="s">
        <v>540</v>
      </c>
      <c r="F574" s="4" t="s">
        <v>540</v>
      </c>
      <c r="G574" s="4" t="n">
        <v>45</v>
      </c>
      <c r="H574" s="4" t="s">
        <v>359</v>
      </c>
      <c r="I574" s="22" t="n">
        <v>0.05</v>
      </c>
      <c r="J574" s="4" t="n">
        <v>71</v>
      </c>
      <c r="K574" s="4" t="n">
        <v>26</v>
      </c>
      <c r="L574" s="23" t="n">
        <f aca="false">IF(J574&gt;=5,K574/J574,"too few builds")</f>
        <v>0.366197183098592</v>
      </c>
      <c r="M574" s="22" t="n">
        <v>0</v>
      </c>
      <c r="N574" s="22" t="n">
        <v>0</v>
      </c>
      <c r="O574" s="4"/>
      <c r="P574" s="4"/>
      <c r="Q574" s="4"/>
      <c r="R574" s="4" t="s">
        <v>2269</v>
      </c>
    </row>
    <row r="575" customFormat="false" ht="15" hidden="false" customHeight="false" outlineLevel="0" collapsed="false">
      <c r="A575" s="4" t="s">
        <v>2270</v>
      </c>
      <c r="B575" s="4" t="s">
        <v>1828</v>
      </c>
      <c r="C575" s="4" t="s">
        <v>419</v>
      </c>
      <c r="D575" s="4" t="s">
        <v>359</v>
      </c>
      <c r="E575" s="4" t="s">
        <v>813</v>
      </c>
      <c r="F575" s="4" t="s">
        <v>371</v>
      </c>
      <c r="G575" s="4" t="n">
        <v>0</v>
      </c>
      <c r="H575" s="4" t="s">
        <v>369</v>
      </c>
      <c r="I575" s="22" t="n">
        <v>0.94</v>
      </c>
      <c r="J575" s="4" t="n">
        <v>500</v>
      </c>
      <c r="K575" s="4" t="n">
        <v>455</v>
      </c>
      <c r="L575" s="23" t="n">
        <f aca="false">IF(J575&gt;=5,K575/J575,"too few builds")</f>
        <v>0.91</v>
      </c>
      <c r="M575" s="22" t="n">
        <v>0</v>
      </c>
      <c r="N575" s="22" t="n">
        <v>0.1</v>
      </c>
      <c r="O575" s="4"/>
      <c r="P575" s="4"/>
      <c r="Q575" s="4"/>
      <c r="R575" s="4" t="s">
        <v>2271</v>
      </c>
    </row>
    <row r="576" customFormat="false" ht="15" hidden="false" customHeight="false" outlineLevel="0" collapsed="false">
      <c r="A576" s="4" t="s">
        <v>2272</v>
      </c>
      <c r="B576" s="4" t="s">
        <v>432</v>
      </c>
      <c r="C576" s="4" t="s">
        <v>379</v>
      </c>
      <c r="D576" s="4" t="s">
        <v>369</v>
      </c>
      <c r="E576" s="4" t="s">
        <v>2273</v>
      </c>
      <c r="F576" s="4" t="s">
        <v>2274</v>
      </c>
      <c r="G576" s="4" t="n">
        <v>75</v>
      </c>
      <c r="H576" s="4" t="s">
        <v>359</v>
      </c>
      <c r="I576" s="22" t="n">
        <v>0.05</v>
      </c>
      <c r="J576" s="4" t="n">
        <v>37</v>
      </c>
      <c r="K576" s="4" t="n">
        <v>26</v>
      </c>
      <c r="L576" s="23" t="n">
        <f aca="false">IF(J576&gt;=5,K576/J576,"too few builds")</f>
        <v>0.702702702702703</v>
      </c>
      <c r="M576" s="22" t="n">
        <v>0</v>
      </c>
      <c r="N576" s="22" t="n">
        <v>0</v>
      </c>
      <c r="O576" s="4"/>
      <c r="P576" s="4"/>
      <c r="Q576" s="4"/>
      <c r="R576" s="4" t="s">
        <v>2275</v>
      </c>
    </row>
    <row r="577" customFormat="false" ht="15" hidden="false" customHeight="false" outlineLevel="0" collapsed="false">
      <c r="A577" s="4" t="s">
        <v>413</v>
      </c>
      <c r="B577" s="4" t="s">
        <v>413</v>
      </c>
      <c r="C577" s="4" t="s">
        <v>379</v>
      </c>
      <c r="D577" s="4" t="s">
        <v>369</v>
      </c>
      <c r="E577" s="4" t="s">
        <v>2276</v>
      </c>
      <c r="F577" s="4" t="s">
        <v>2276</v>
      </c>
      <c r="G577" s="4" t="n">
        <v>1</v>
      </c>
      <c r="H577" s="4" t="s">
        <v>359</v>
      </c>
      <c r="I577" s="22" t="n">
        <v>0.11</v>
      </c>
      <c r="J577" s="4" t="n">
        <v>116</v>
      </c>
      <c r="K577" s="4" t="n">
        <v>55</v>
      </c>
      <c r="L577" s="23" t="n">
        <f aca="false">IF(J577&gt;=5,K577/J577,"too few builds")</f>
        <v>0.474137931034483</v>
      </c>
      <c r="M577" s="22" t="n">
        <v>0</v>
      </c>
      <c r="N577" s="22" t="n">
        <v>0</v>
      </c>
      <c r="O577" s="4"/>
      <c r="P577" s="4"/>
      <c r="Q577" s="4"/>
      <c r="R577" s="4" t="s">
        <v>2277</v>
      </c>
    </row>
    <row r="578" customFormat="false" ht="15" hidden="false" customHeight="false" outlineLevel="0" collapsed="false">
      <c r="A578" s="4" t="s">
        <v>2278</v>
      </c>
      <c r="B578" s="4" t="s">
        <v>1576</v>
      </c>
      <c r="C578" s="4" t="s">
        <v>379</v>
      </c>
      <c r="D578" s="4" t="s">
        <v>359</v>
      </c>
      <c r="E578" s="4" t="s">
        <v>2042</v>
      </c>
      <c r="F578" s="4" t="s">
        <v>2042</v>
      </c>
      <c r="G578" s="4" t="n">
        <v>5</v>
      </c>
      <c r="H578" s="4" t="s">
        <v>359</v>
      </c>
      <c r="I578" s="22" t="n">
        <v>0.12</v>
      </c>
      <c r="J578" s="4" t="n">
        <v>433</v>
      </c>
      <c r="K578" s="4" t="n">
        <v>58</v>
      </c>
      <c r="L578" s="23" t="n">
        <f aca="false">IF(J578&gt;=5,K578/J578,"too few builds")</f>
        <v>0.133949191685912</v>
      </c>
      <c r="M578" s="22" t="n">
        <v>0</v>
      </c>
      <c r="N578" s="22" t="n">
        <v>0</v>
      </c>
      <c r="O578" s="4"/>
      <c r="P578" s="4"/>
      <c r="Q578" s="4"/>
      <c r="R578" s="4" t="s">
        <v>2279</v>
      </c>
    </row>
    <row r="579" customFormat="false" ht="15" hidden="false" customHeight="false" outlineLevel="0" collapsed="false">
      <c r="A579" s="4" t="s">
        <v>2280</v>
      </c>
      <c r="B579" s="4" t="s">
        <v>1145</v>
      </c>
      <c r="C579" s="4" t="s">
        <v>419</v>
      </c>
      <c r="D579" s="4" t="s">
        <v>359</v>
      </c>
      <c r="E579" s="4" t="s">
        <v>1399</v>
      </c>
      <c r="F579" s="4" t="s">
        <v>1399</v>
      </c>
      <c r="G579" s="4" t="n">
        <v>50</v>
      </c>
      <c r="H579" s="4" t="s">
        <v>359</v>
      </c>
      <c r="I579" s="22" t="n">
        <v>0.84</v>
      </c>
      <c r="J579" s="4" t="n">
        <v>406</v>
      </c>
      <c r="K579" s="4" t="n">
        <v>385</v>
      </c>
      <c r="L579" s="23" t="n">
        <f aca="false">IF(J579&gt;=5,K579/J579,"too few builds")</f>
        <v>0.948275862068966</v>
      </c>
      <c r="M579" s="22" t="n">
        <v>0</v>
      </c>
      <c r="N579" s="22" t="n">
        <v>0</v>
      </c>
      <c r="O579" s="4"/>
      <c r="P579" s="4"/>
      <c r="Q579" s="4"/>
      <c r="R579" s="4"/>
    </row>
    <row r="580" customFormat="false" ht="15" hidden="false" customHeight="false" outlineLevel="0" collapsed="false">
      <c r="A580" s="4" t="s">
        <v>2281</v>
      </c>
      <c r="B580" s="4" t="s">
        <v>1092</v>
      </c>
      <c r="C580" s="4" t="s">
        <v>379</v>
      </c>
      <c r="D580" s="4" t="s">
        <v>359</v>
      </c>
      <c r="E580" s="4" t="s">
        <v>2282</v>
      </c>
      <c r="F580" s="4" t="s">
        <v>2283</v>
      </c>
      <c r="G580" s="4" t="n">
        <v>200</v>
      </c>
      <c r="H580" s="4" t="s">
        <v>359</v>
      </c>
      <c r="I580" s="22" t="n">
        <v>0</v>
      </c>
      <c r="J580" s="4" t="n">
        <v>3</v>
      </c>
      <c r="K580" s="4" t="n">
        <v>1</v>
      </c>
      <c r="L580" s="23" t="str">
        <f aca="false">IF(J580&gt;=5,K580/J580,"too few builds")</f>
        <v>too few builds</v>
      </c>
      <c r="M580" s="22" t="n">
        <v>0</v>
      </c>
      <c r="N580" s="22" t="n">
        <v>0</v>
      </c>
      <c r="O580" s="4"/>
      <c r="P580" s="4" t="s">
        <v>2284</v>
      </c>
      <c r="Q580" s="4"/>
      <c r="R580" s="4" t="s">
        <v>2285</v>
      </c>
    </row>
    <row r="581" customFormat="false" ht="15" hidden="false" customHeight="false" outlineLevel="0" collapsed="false">
      <c r="A581" s="4" t="s">
        <v>1066</v>
      </c>
      <c r="B581" s="4" t="s">
        <v>778</v>
      </c>
      <c r="C581" s="4" t="s">
        <v>379</v>
      </c>
      <c r="D581" s="4" t="s">
        <v>359</v>
      </c>
      <c r="E581" s="4" t="s">
        <v>2286</v>
      </c>
      <c r="F581" s="4" t="s">
        <v>790</v>
      </c>
      <c r="G581" s="4" t="n">
        <v>25</v>
      </c>
      <c r="H581" s="4" t="s">
        <v>359</v>
      </c>
      <c r="I581" s="22" t="n">
        <v>0.63</v>
      </c>
      <c r="J581" s="4" t="n">
        <v>347</v>
      </c>
      <c r="K581" s="4" t="n">
        <v>317</v>
      </c>
      <c r="L581" s="23" t="n">
        <f aca="false">IF(J581&gt;=5,K581/J581,"too few builds")</f>
        <v>0.913544668587896</v>
      </c>
      <c r="M581" s="22" t="n">
        <v>0.1</v>
      </c>
      <c r="N581" s="22" t="n">
        <v>0</v>
      </c>
      <c r="O581" s="4"/>
      <c r="P581" s="4"/>
      <c r="Q581" s="4" t="s">
        <v>2287</v>
      </c>
      <c r="R581" s="4" t="s">
        <v>2288</v>
      </c>
    </row>
    <row r="582" customFormat="false" ht="15" hidden="false" customHeight="false" outlineLevel="0" collapsed="false">
      <c r="A582" s="4" t="s">
        <v>2289</v>
      </c>
      <c r="B582" s="4" t="s">
        <v>683</v>
      </c>
      <c r="C582" s="4" t="s">
        <v>584</v>
      </c>
      <c r="D582" s="4" t="s">
        <v>369</v>
      </c>
      <c r="E582" s="4" t="s">
        <v>585</v>
      </c>
      <c r="F582" s="4" t="s">
        <v>371</v>
      </c>
      <c r="G582" s="4" t="n">
        <v>0</v>
      </c>
      <c r="H582" s="4" t="s">
        <v>369</v>
      </c>
      <c r="I582" s="22" t="n">
        <v>0</v>
      </c>
      <c r="J582" s="4" t="n">
        <v>500</v>
      </c>
      <c r="K582" s="4" t="n">
        <v>7</v>
      </c>
      <c r="L582" s="23" t="n">
        <f aca="false">IF(J582&gt;=5,K582/J582,"too few builds")</f>
        <v>0.014</v>
      </c>
      <c r="M582" s="22" t="n">
        <v>0</v>
      </c>
      <c r="N582" s="22" t="n">
        <v>0</v>
      </c>
      <c r="O582" s="4"/>
      <c r="P582" s="4"/>
      <c r="Q582" s="4"/>
      <c r="R582" s="4" t="s">
        <v>2290</v>
      </c>
    </row>
    <row r="583" customFormat="false" ht="15" hidden="false" customHeight="false" outlineLevel="0" collapsed="false">
      <c r="A583" s="4" t="s">
        <v>2291</v>
      </c>
      <c r="B583" s="4" t="s">
        <v>527</v>
      </c>
      <c r="C583" s="4" t="s">
        <v>419</v>
      </c>
      <c r="D583" s="4" t="s">
        <v>359</v>
      </c>
      <c r="E583" s="4" t="s">
        <v>2292</v>
      </c>
      <c r="F583" s="4" t="s">
        <v>2293</v>
      </c>
      <c r="G583" s="4" t="n">
        <v>50</v>
      </c>
      <c r="H583" s="4" t="s">
        <v>359</v>
      </c>
      <c r="I583" s="22" t="n">
        <v>0</v>
      </c>
      <c r="J583" s="4" t="n">
        <v>214</v>
      </c>
      <c r="K583" s="4" t="n">
        <v>10</v>
      </c>
      <c r="L583" s="23" t="n">
        <f aca="false">IF(J583&gt;=5,K583/J583,"too few builds")</f>
        <v>0.0467289719626168</v>
      </c>
      <c r="M583" s="22" t="n">
        <v>0</v>
      </c>
      <c r="N583" s="22" t="n">
        <v>0</v>
      </c>
      <c r="O583" s="4"/>
      <c r="P583" s="4"/>
      <c r="Q583" s="4"/>
      <c r="R583" s="4" t="s">
        <v>2294</v>
      </c>
    </row>
    <row r="584" customFormat="false" ht="15" hidden="false" customHeight="false" outlineLevel="0" collapsed="false">
      <c r="A584" s="4" t="s">
        <v>2295</v>
      </c>
      <c r="B584" s="4" t="s">
        <v>215</v>
      </c>
      <c r="C584" s="4" t="s">
        <v>332</v>
      </c>
      <c r="D584" s="4" t="s">
        <v>369</v>
      </c>
      <c r="E584" s="4" t="s">
        <v>481</v>
      </c>
      <c r="F584" s="4" t="s">
        <v>371</v>
      </c>
      <c r="G584" s="4" t="n">
        <v>0</v>
      </c>
      <c r="H584" s="4" t="s">
        <v>369</v>
      </c>
      <c r="I584" s="22" t="n">
        <v>0</v>
      </c>
      <c r="J584" s="4" t="n">
        <v>51</v>
      </c>
      <c r="K584" s="4" t="n">
        <v>21</v>
      </c>
      <c r="L584" s="23" t="n">
        <f aca="false">IF(J584&gt;=5,K584/J584,"too few builds")</f>
        <v>0.411764705882353</v>
      </c>
      <c r="M584" s="22" t="n">
        <v>0</v>
      </c>
      <c r="N584" s="22" t="n">
        <v>0</v>
      </c>
      <c r="O584" s="4"/>
      <c r="P584" s="4"/>
      <c r="Q584" s="4"/>
      <c r="R584" s="4" t="s">
        <v>2296</v>
      </c>
    </row>
    <row r="585" customFormat="false" ht="15" hidden="false" customHeight="false" outlineLevel="0" collapsed="false">
      <c r="A585" s="4" t="s">
        <v>2297</v>
      </c>
      <c r="B585" s="4" t="s">
        <v>1190</v>
      </c>
      <c r="C585" s="4" t="s">
        <v>419</v>
      </c>
      <c r="D585" s="4" t="s">
        <v>359</v>
      </c>
      <c r="E585" s="4" t="s">
        <v>1712</v>
      </c>
      <c r="F585" s="4" t="s">
        <v>1712</v>
      </c>
      <c r="G585" s="4" t="n">
        <v>75</v>
      </c>
      <c r="H585" s="4" t="s">
        <v>359</v>
      </c>
      <c r="I585" s="22" t="n">
        <v>0</v>
      </c>
      <c r="J585" s="4" t="n">
        <v>112</v>
      </c>
      <c r="K585" s="4" t="n">
        <v>7</v>
      </c>
      <c r="L585" s="23" t="n">
        <f aca="false">IF(J585&gt;=5,K585/J585,"too few builds")</f>
        <v>0.0625</v>
      </c>
      <c r="M585" s="22" t="n">
        <v>0</v>
      </c>
      <c r="N585" s="22" t="n">
        <v>0</v>
      </c>
      <c r="O585" s="4"/>
      <c r="P585" s="4"/>
      <c r="Q585" s="4"/>
      <c r="R585" s="4" t="s">
        <v>2298</v>
      </c>
    </row>
    <row r="586" customFormat="false" ht="15" hidden="false" customHeight="false" outlineLevel="0" collapsed="false">
      <c r="A586" s="4" t="s">
        <v>2299</v>
      </c>
      <c r="B586" s="4" t="s">
        <v>1589</v>
      </c>
      <c r="C586" s="4" t="s">
        <v>379</v>
      </c>
      <c r="D586" s="4" t="s">
        <v>359</v>
      </c>
      <c r="E586" s="4" t="s">
        <v>2300</v>
      </c>
      <c r="F586" s="4" t="s">
        <v>2301</v>
      </c>
      <c r="G586" s="4" t="n">
        <v>60</v>
      </c>
      <c r="H586" s="4" t="s">
        <v>359</v>
      </c>
      <c r="I586" s="22" t="n">
        <v>0.22</v>
      </c>
      <c r="J586" s="4" t="n">
        <v>358</v>
      </c>
      <c r="K586" s="4" t="n">
        <v>113</v>
      </c>
      <c r="L586" s="23" t="n">
        <f aca="false">IF(J586&gt;=5,K586/J586,"too few builds")</f>
        <v>0.315642458100559</v>
      </c>
      <c r="M586" s="22" t="n">
        <v>0</v>
      </c>
      <c r="N586" s="22" t="n">
        <v>0</v>
      </c>
      <c r="O586" s="4"/>
      <c r="P586" s="4" t="s">
        <v>2302</v>
      </c>
      <c r="Q586" s="4"/>
      <c r="R586" s="4" t="s">
        <v>2303</v>
      </c>
    </row>
    <row r="587" customFormat="false" ht="15" hidden="false" customHeight="false" outlineLevel="0" collapsed="false">
      <c r="A587" s="4" t="s">
        <v>2304</v>
      </c>
      <c r="B587" s="4" t="s">
        <v>450</v>
      </c>
      <c r="C587" s="4" t="s">
        <v>379</v>
      </c>
      <c r="D587" s="4" t="s">
        <v>359</v>
      </c>
      <c r="E587" s="4" t="s">
        <v>2305</v>
      </c>
      <c r="F587" s="4" t="s">
        <v>501</v>
      </c>
      <c r="G587" s="4" t="n">
        <v>80</v>
      </c>
      <c r="H587" s="4" t="s">
        <v>359</v>
      </c>
      <c r="I587" s="22" t="n">
        <v>0.05</v>
      </c>
      <c r="J587" s="4" t="n">
        <v>65</v>
      </c>
      <c r="K587" s="4" t="n">
        <v>23</v>
      </c>
      <c r="L587" s="23" t="n">
        <f aca="false">IF(J587&gt;=5,K587/J587,"too few builds")</f>
        <v>0.353846153846154</v>
      </c>
      <c r="M587" s="22" t="n">
        <v>0</v>
      </c>
      <c r="N587" s="22" t="n">
        <v>0</v>
      </c>
      <c r="O587" s="4"/>
      <c r="P587" s="4"/>
      <c r="Q587" s="4"/>
      <c r="R587" s="4" t="s">
        <v>2306</v>
      </c>
    </row>
    <row r="588" customFormat="false" ht="15" hidden="false" customHeight="false" outlineLevel="0" collapsed="false">
      <c r="A588" s="4" t="s">
        <v>2307</v>
      </c>
      <c r="B588" s="4" t="s">
        <v>1636</v>
      </c>
      <c r="C588" s="4" t="s">
        <v>379</v>
      </c>
      <c r="D588" s="4" t="s">
        <v>359</v>
      </c>
      <c r="E588" s="4" t="s">
        <v>2308</v>
      </c>
      <c r="F588" s="4" t="s">
        <v>1959</v>
      </c>
      <c r="G588" s="4" t="n">
        <v>55</v>
      </c>
      <c r="H588" s="4" t="s">
        <v>359</v>
      </c>
      <c r="I588" s="22" t="n">
        <v>0</v>
      </c>
      <c r="J588" s="4" t="n">
        <v>110</v>
      </c>
      <c r="K588" s="4" t="n">
        <v>8</v>
      </c>
      <c r="L588" s="23" t="n">
        <f aca="false">IF(J588&gt;=5,K588/J588,"too few builds")</f>
        <v>0.0727272727272727</v>
      </c>
      <c r="M588" s="22" t="n">
        <v>0</v>
      </c>
      <c r="N588" s="22" t="n">
        <v>0</v>
      </c>
      <c r="O588" s="4"/>
      <c r="P588" s="4"/>
      <c r="Q588" s="4"/>
      <c r="R588" s="4" t="s">
        <v>2309</v>
      </c>
    </row>
    <row r="589" customFormat="false" ht="15" hidden="false" customHeight="false" outlineLevel="0" collapsed="false">
      <c r="A589" s="4" t="s">
        <v>2310</v>
      </c>
      <c r="B589" s="4" t="s">
        <v>761</v>
      </c>
      <c r="C589" s="4" t="s">
        <v>379</v>
      </c>
      <c r="D589" s="4" t="s">
        <v>359</v>
      </c>
      <c r="E589" s="4" t="s">
        <v>1665</v>
      </c>
      <c r="F589" s="4" t="s">
        <v>1665</v>
      </c>
      <c r="G589" s="4" t="n">
        <v>60</v>
      </c>
      <c r="H589" s="4" t="s">
        <v>359</v>
      </c>
      <c r="I589" s="22" t="n">
        <v>0.04</v>
      </c>
      <c r="J589" s="4" t="n">
        <v>117</v>
      </c>
      <c r="K589" s="4" t="n">
        <v>21</v>
      </c>
      <c r="L589" s="23" t="n">
        <f aca="false">IF(J589&gt;=5,K589/J589,"too few builds")</f>
        <v>0.17948717948718</v>
      </c>
      <c r="M589" s="22" t="n">
        <v>0</v>
      </c>
      <c r="N589" s="22" t="n">
        <v>0</v>
      </c>
      <c r="O589" s="4"/>
      <c r="P589" s="4"/>
      <c r="Q589" s="4"/>
      <c r="R589" s="4" t="s">
        <v>2311</v>
      </c>
    </row>
    <row r="590" customFormat="false" ht="15" hidden="false" customHeight="false" outlineLevel="0" collapsed="false">
      <c r="A590" s="4" t="s">
        <v>2312</v>
      </c>
      <c r="B590" s="4" t="s">
        <v>775</v>
      </c>
      <c r="C590" s="4" t="s">
        <v>379</v>
      </c>
      <c r="D590" s="4" t="s">
        <v>359</v>
      </c>
      <c r="E590" s="4" t="s">
        <v>2313</v>
      </c>
      <c r="F590" s="4" t="s">
        <v>2313</v>
      </c>
      <c r="G590" s="4" t="n">
        <v>30</v>
      </c>
      <c r="H590" s="4" t="s">
        <v>359</v>
      </c>
      <c r="I590" s="22" t="n">
        <v>0.58</v>
      </c>
      <c r="J590" s="4" t="n">
        <v>350</v>
      </c>
      <c r="K590" s="4" t="n">
        <v>278</v>
      </c>
      <c r="L590" s="23" t="n">
        <f aca="false">IF(J590&gt;=5,K590/J590,"too few builds")</f>
        <v>0.794285714285714</v>
      </c>
      <c r="M590" s="22" t="n">
        <v>0.04</v>
      </c>
      <c r="N590" s="22" t="n">
        <v>0</v>
      </c>
      <c r="O590" s="4"/>
      <c r="P590" s="4"/>
      <c r="Q590" s="4"/>
      <c r="R590" s="4" t="s">
        <v>2314</v>
      </c>
    </row>
    <row r="591" customFormat="false" ht="15" hidden="false" customHeight="false" outlineLevel="0" collapsed="false">
      <c r="A591" s="4" t="s">
        <v>2315</v>
      </c>
      <c r="B591" s="4" t="s">
        <v>998</v>
      </c>
      <c r="C591" s="4" t="s">
        <v>419</v>
      </c>
      <c r="D591" s="4" t="s">
        <v>359</v>
      </c>
      <c r="E591" s="4" t="s">
        <v>2316</v>
      </c>
      <c r="F591" s="4" t="s">
        <v>1000</v>
      </c>
      <c r="G591" s="4" t="n">
        <v>80</v>
      </c>
      <c r="H591" s="4" t="s">
        <v>359</v>
      </c>
      <c r="I591" s="22" t="n">
        <v>0.06</v>
      </c>
      <c r="J591" s="4" t="n">
        <v>83</v>
      </c>
      <c r="K591" s="4" t="n">
        <v>24</v>
      </c>
      <c r="L591" s="23" t="n">
        <f aca="false">IF(J591&gt;=5,K591/J591,"too few builds")</f>
        <v>0.289156626506024</v>
      </c>
      <c r="M591" s="22" t="n">
        <v>0</v>
      </c>
      <c r="N591" s="22" t="n">
        <v>0</v>
      </c>
      <c r="O591" s="4"/>
      <c r="P591" s="4"/>
      <c r="Q591" s="4"/>
      <c r="R591" s="4" t="s">
        <v>2317</v>
      </c>
    </row>
    <row r="592" customFormat="false" ht="15" hidden="false" customHeight="false" outlineLevel="0" collapsed="false">
      <c r="A592" s="4" t="s">
        <v>2318</v>
      </c>
      <c r="B592" s="4" t="s">
        <v>1403</v>
      </c>
      <c r="C592" s="4" t="s">
        <v>379</v>
      </c>
      <c r="D592" s="4" t="s">
        <v>359</v>
      </c>
      <c r="E592" s="4" t="s">
        <v>2319</v>
      </c>
      <c r="F592" s="4" t="s">
        <v>2320</v>
      </c>
      <c r="G592" s="4" t="n">
        <v>100</v>
      </c>
      <c r="H592" s="4" t="s">
        <v>359</v>
      </c>
      <c r="I592" s="22" t="n">
        <v>0.16</v>
      </c>
      <c r="J592" s="4" t="n">
        <v>121</v>
      </c>
      <c r="K592" s="4" t="n">
        <v>73</v>
      </c>
      <c r="L592" s="23" t="n">
        <f aca="false">IF(J592&gt;=5,K592/J592,"too few builds")</f>
        <v>0.603305785123967</v>
      </c>
      <c r="M592" s="22" t="n">
        <v>0</v>
      </c>
      <c r="N592" s="22" t="n">
        <v>0</v>
      </c>
      <c r="O592" s="4"/>
      <c r="P592" s="4"/>
      <c r="Q592" s="4"/>
      <c r="R592" s="4" t="s">
        <v>2321</v>
      </c>
    </row>
    <row r="593" customFormat="false" ht="15" hidden="false" customHeight="false" outlineLevel="0" collapsed="false">
      <c r="A593" s="4" t="s">
        <v>2322</v>
      </c>
      <c r="B593" s="4" t="s">
        <v>2323</v>
      </c>
      <c r="C593" s="4" t="s">
        <v>584</v>
      </c>
      <c r="D593" s="4" t="s">
        <v>369</v>
      </c>
      <c r="E593" s="4" t="s">
        <v>585</v>
      </c>
      <c r="F593" s="4" t="s">
        <v>371</v>
      </c>
      <c r="G593" s="4" t="n">
        <v>0</v>
      </c>
      <c r="H593" s="4" t="s">
        <v>369</v>
      </c>
      <c r="I593" s="22" t="n">
        <v>0</v>
      </c>
      <c r="J593" s="4" t="n">
        <v>500</v>
      </c>
      <c r="K593" s="4" t="n">
        <v>45</v>
      </c>
      <c r="L593" s="23" t="n">
        <f aca="false">IF(J593&gt;=5,K593/J593,"too few builds")</f>
        <v>0.09</v>
      </c>
      <c r="M593" s="22" t="n">
        <v>0</v>
      </c>
      <c r="N593" s="22" t="n">
        <v>0</v>
      </c>
      <c r="O593" s="4"/>
      <c r="P593" s="4"/>
      <c r="Q593" s="4"/>
      <c r="R593" s="4" t="s">
        <v>2324</v>
      </c>
    </row>
    <row r="594" customFormat="false" ht="15" hidden="false" customHeight="false" outlineLevel="0" collapsed="false">
      <c r="A594" s="4" t="s">
        <v>2325</v>
      </c>
      <c r="B594" s="4" t="s">
        <v>215</v>
      </c>
      <c r="C594" s="4" t="s">
        <v>332</v>
      </c>
      <c r="D594" s="4" t="s">
        <v>369</v>
      </c>
      <c r="E594" s="4" t="s">
        <v>481</v>
      </c>
      <c r="F594" s="4" t="s">
        <v>371</v>
      </c>
      <c r="G594" s="4" t="n">
        <v>0</v>
      </c>
      <c r="H594" s="4" t="s">
        <v>369</v>
      </c>
      <c r="I594" s="22" t="n">
        <v>0</v>
      </c>
      <c r="J594" s="4" t="n">
        <v>51</v>
      </c>
      <c r="K594" s="4" t="n">
        <v>21</v>
      </c>
      <c r="L594" s="23" t="n">
        <f aca="false">IF(J594&gt;=5,K594/J594,"too few builds")</f>
        <v>0.411764705882353</v>
      </c>
      <c r="M594" s="22" t="n">
        <v>0</v>
      </c>
      <c r="N594" s="22" t="n">
        <v>0</v>
      </c>
      <c r="O594" s="4"/>
      <c r="P594" s="4"/>
      <c r="Q594" s="4"/>
      <c r="R594" s="4" t="s">
        <v>2326</v>
      </c>
    </row>
    <row r="595" customFormat="false" ht="15" hidden="false" customHeight="false" outlineLevel="0" collapsed="false">
      <c r="A595" s="4" t="s">
        <v>2327</v>
      </c>
      <c r="B595" s="4" t="s">
        <v>2328</v>
      </c>
      <c r="C595" s="4" t="s">
        <v>379</v>
      </c>
      <c r="D595" s="4" t="s">
        <v>359</v>
      </c>
      <c r="E595" s="4" t="s">
        <v>2329</v>
      </c>
      <c r="F595" s="4" t="s">
        <v>787</v>
      </c>
      <c r="G595" s="4" t="n">
        <v>75</v>
      </c>
      <c r="H595" s="4" t="s">
        <v>359</v>
      </c>
      <c r="I595" s="22" t="n">
        <v>0.11</v>
      </c>
      <c r="J595" s="4" t="n">
        <v>69</v>
      </c>
      <c r="K595" s="4" t="n">
        <v>55</v>
      </c>
      <c r="L595" s="23" t="n">
        <f aca="false">IF(J595&gt;=5,K595/J595,"too few builds")</f>
        <v>0.797101449275362</v>
      </c>
      <c r="M595" s="22" t="n">
        <v>0</v>
      </c>
      <c r="N595" s="22" t="n">
        <v>0</v>
      </c>
      <c r="O595" s="4"/>
      <c r="P595" s="4" t="s">
        <v>2330</v>
      </c>
      <c r="Q595" s="4"/>
      <c r="R595" s="4"/>
    </row>
    <row r="596" customFormat="false" ht="15" hidden="false" customHeight="false" outlineLevel="0" collapsed="false">
      <c r="A596" s="4" t="s">
        <v>2331</v>
      </c>
      <c r="B596" s="4" t="s">
        <v>980</v>
      </c>
      <c r="C596" s="4" t="s">
        <v>379</v>
      </c>
      <c r="D596" s="4" t="s">
        <v>359</v>
      </c>
      <c r="E596" s="4" t="s">
        <v>2332</v>
      </c>
      <c r="F596" s="4" t="s">
        <v>921</v>
      </c>
      <c r="G596" s="4" t="n">
        <v>60</v>
      </c>
      <c r="H596" s="4" t="s">
        <v>359</v>
      </c>
      <c r="I596" s="22" t="n">
        <v>0.07</v>
      </c>
      <c r="J596" s="4" t="n">
        <v>99</v>
      </c>
      <c r="K596" s="4" t="n">
        <v>29</v>
      </c>
      <c r="L596" s="23" t="n">
        <f aca="false">IF(J596&gt;=5,K596/J596,"too few builds")</f>
        <v>0.292929292929293</v>
      </c>
      <c r="M596" s="22" t="n">
        <v>0</v>
      </c>
      <c r="N596" s="22" t="n">
        <v>0</v>
      </c>
      <c r="O596" s="4"/>
      <c r="P596" s="4"/>
      <c r="Q596" s="4"/>
      <c r="R596" s="4" t="s">
        <v>2333</v>
      </c>
    </row>
    <row r="597" customFormat="false" ht="15" hidden="false" customHeight="false" outlineLevel="0" collapsed="false">
      <c r="A597" s="4" t="s">
        <v>2334</v>
      </c>
      <c r="B597" s="4" t="s">
        <v>1007</v>
      </c>
      <c r="C597" s="4" t="s">
        <v>419</v>
      </c>
      <c r="D597" s="4" t="s">
        <v>359</v>
      </c>
      <c r="E597" s="4" t="s">
        <v>2335</v>
      </c>
      <c r="F597" s="4" t="s">
        <v>2336</v>
      </c>
      <c r="G597" s="4" t="n">
        <v>80</v>
      </c>
      <c r="H597" s="4" t="s">
        <v>359</v>
      </c>
      <c r="I597" s="22" t="n">
        <v>0.05</v>
      </c>
      <c r="J597" s="4" t="n">
        <v>78</v>
      </c>
      <c r="K597" s="4" t="n">
        <v>29</v>
      </c>
      <c r="L597" s="23" t="n">
        <f aca="false">IF(J597&gt;=5,K597/J597,"too few builds")</f>
        <v>0.371794871794872</v>
      </c>
      <c r="M597" s="22" t="n">
        <v>0</v>
      </c>
      <c r="N597" s="22" t="n">
        <v>0</v>
      </c>
      <c r="O597" s="4"/>
      <c r="P597" s="4"/>
      <c r="Q597" s="4"/>
      <c r="R597" s="4"/>
    </row>
    <row r="598" customFormat="false" ht="15" hidden="false" customHeight="false" outlineLevel="0" collapsed="false">
      <c r="A598" s="4" t="s">
        <v>2337</v>
      </c>
      <c r="B598" s="4" t="s">
        <v>428</v>
      </c>
      <c r="C598" s="4" t="s">
        <v>379</v>
      </c>
      <c r="D598" s="4" t="s">
        <v>359</v>
      </c>
      <c r="E598" s="4" t="s">
        <v>2338</v>
      </c>
      <c r="F598" s="4" t="s">
        <v>2338</v>
      </c>
      <c r="G598" s="4" t="n">
        <v>75</v>
      </c>
      <c r="H598" s="4" t="s">
        <v>359</v>
      </c>
      <c r="I598" s="22" t="n">
        <v>0.08</v>
      </c>
      <c r="J598" s="4" t="n">
        <v>92</v>
      </c>
      <c r="K598" s="4" t="n">
        <v>44</v>
      </c>
      <c r="L598" s="23" t="n">
        <f aca="false">IF(J598&gt;=5,K598/J598,"too few builds")</f>
        <v>0.478260869565217</v>
      </c>
      <c r="M598" s="22" t="n">
        <v>0</v>
      </c>
      <c r="N598" s="22" t="n">
        <v>0</v>
      </c>
      <c r="O598" s="4"/>
      <c r="P598" s="4" t="s">
        <v>2339</v>
      </c>
      <c r="Q598" s="4"/>
      <c r="R598" s="4" t="s">
        <v>2340</v>
      </c>
    </row>
    <row r="599" customFormat="false" ht="15" hidden="false" customHeight="false" outlineLevel="0" collapsed="false">
      <c r="A599" s="4" t="s">
        <v>2341</v>
      </c>
      <c r="B599" s="4" t="s">
        <v>1261</v>
      </c>
      <c r="C599" s="4" t="s">
        <v>332</v>
      </c>
      <c r="D599" s="4" t="s">
        <v>369</v>
      </c>
      <c r="E599" s="4" t="s">
        <v>1262</v>
      </c>
      <c r="F599" s="4" t="s">
        <v>371</v>
      </c>
      <c r="G599" s="4" t="n">
        <v>0</v>
      </c>
      <c r="H599" s="4" t="s">
        <v>369</v>
      </c>
      <c r="I599" s="22" t="n">
        <v>0</v>
      </c>
      <c r="J599" s="4" t="n">
        <v>61</v>
      </c>
      <c r="K599" s="4" t="n">
        <v>24</v>
      </c>
      <c r="L599" s="23" t="n">
        <f aca="false">IF(J599&gt;=5,K599/J599,"too few builds")</f>
        <v>0.39344262295082</v>
      </c>
      <c r="M599" s="22" t="n">
        <v>0</v>
      </c>
      <c r="N599" s="22" t="n">
        <v>0</v>
      </c>
      <c r="O599" s="4"/>
      <c r="P599" s="4"/>
      <c r="Q599" s="4"/>
      <c r="R599" s="4" t="s">
        <v>2342</v>
      </c>
    </row>
    <row r="600" customFormat="false" ht="15" hidden="false" customHeight="false" outlineLevel="0" collapsed="false">
      <c r="A600" s="4" t="s">
        <v>2343</v>
      </c>
      <c r="B600" s="4" t="s">
        <v>579</v>
      </c>
      <c r="C600" s="4" t="s">
        <v>379</v>
      </c>
      <c r="D600" s="4" t="s">
        <v>359</v>
      </c>
      <c r="E600" s="4" t="s">
        <v>2344</v>
      </c>
      <c r="F600" s="4" t="s">
        <v>2344</v>
      </c>
      <c r="G600" s="4" t="n">
        <v>70</v>
      </c>
      <c r="H600" s="4" t="s">
        <v>359</v>
      </c>
      <c r="I600" s="22" t="n">
        <v>0.04</v>
      </c>
      <c r="J600" s="4" t="n">
        <v>46</v>
      </c>
      <c r="K600" s="4" t="n">
        <v>17</v>
      </c>
      <c r="L600" s="23" t="n">
        <f aca="false">IF(J600&gt;=5,K600/J600,"too few builds")</f>
        <v>0.369565217391304</v>
      </c>
      <c r="M600" s="22" t="n">
        <v>0</v>
      </c>
      <c r="N600" s="22" t="n">
        <v>0</v>
      </c>
      <c r="O600" s="4"/>
      <c r="P600" s="4"/>
      <c r="Q600" s="4"/>
      <c r="R600" s="4" t="s">
        <v>2345</v>
      </c>
    </row>
    <row r="601" customFormat="false" ht="15" hidden="false" customHeight="false" outlineLevel="0" collapsed="false">
      <c r="A601" s="4" t="s">
        <v>2346</v>
      </c>
      <c r="B601" s="4" t="s">
        <v>1730</v>
      </c>
      <c r="C601" s="4" t="s">
        <v>379</v>
      </c>
      <c r="D601" s="4" t="s">
        <v>359</v>
      </c>
      <c r="E601" s="4" t="s">
        <v>1814</v>
      </c>
      <c r="F601" s="4" t="s">
        <v>1814</v>
      </c>
      <c r="G601" s="4" t="n">
        <v>40</v>
      </c>
      <c r="H601" s="4" t="s">
        <v>359</v>
      </c>
      <c r="I601" s="22" t="n">
        <v>0.44</v>
      </c>
      <c r="J601" s="4" t="n">
        <v>250</v>
      </c>
      <c r="K601" s="4" t="n">
        <v>228</v>
      </c>
      <c r="L601" s="23" t="n">
        <f aca="false">IF(J601&gt;=5,K601/J601,"too few builds")</f>
        <v>0.912</v>
      </c>
      <c r="M601" s="22" t="n">
        <v>0</v>
      </c>
      <c r="N601" s="22" t="n">
        <v>0</v>
      </c>
      <c r="O601" s="4"/>
      <c r="P601" s="4"/>
      <c r="Q601" s="4"/>
      <c r="R601" s="4" t="s">
        <v>2347</v>
      </c>
    </row>
    <row r="602" customFormat="false" ht="15" hidden="false" customHeight="false" outlineLevel="0" collapsed="false">
      <c r="A602" s="4" t="s">
        <v>2348</v>
      </c>
      <c r="B602" s="4" t="s">
        <v>667</v>
      </c>
      <c r="C602" s="4" t="s">
        <v>358</v>
      </c>
      <c r="D602" s="4" t="s">
        <v>359</v>
      </c>
      <c r="E602" s="4" t="s">
        <v>2349</v>
      </c>
      <c r="F602" s="4" t="s">
        <v>2349</v>
      </c>
      <c r="G602" s="4" t="n">
        <v>100</v>
      </c>
      <c r="H602" s="4" t="s">
        <v>359</v>
      </c>
      <c r="I602" s="22" t="n">
        <v>0</v>
      </c>
      <c r="J602" s="4" t="n">
        <v>17</v>
      </c>
      <c r="K602" s="4" t="n">
        <v>13</v>
      </c>
      <c r="L602" s="23" t="n">
        <f aca="false">IF(J602&gt;=5,K602/J602,"too few builds")</f>
        <v>0.764705882352941</v>
      </c>
      <c r="M602" s="22" t="n">
        <v>0</v>
      </c>
      <c r="N602" s="22" t="n">
        <v>0</v>
      </c>
      <c r="O602" s="4"/>
      <c r="P602" s="4"/>
      <c r="Q602" s="4" t="s">
        <v>1366</v>
      </c>
      <c r="R602" s="4"/>
    </row>
    <row r="603" customFormat="false" ht="15" hidden="false" customHeight="false" outlineLevel="0" collapsed="false">
      <c r="A603" s="4" t="s">
        <v>2350</v>
      </c>
      <c r="B603" s="4" t="s">
        <v>388</v>
      </c>
      <c r="C603" s="4" t="s">
        <v>379</v>
      </c>
      <c r="D603" s="4" t="s">
        <v>359</v>
      </c>
      <c r="E603" s="4" t="s">
        <v>940</v>
      </c>
      <c r="F603" s="4" t="s">
        <v>940</v>
      </c>
      <c r="G603" s="4" t="n">
        <v>35</v>
      </c>
      <c r="H603" s="4" t="s">
        <v>359</v>
      </c>
      <c r="I603" s="22" t="n">
        <v>0.1</v>
      </c>
      <c r="J603" s="4" t="n">
        <v>130</v>
      </c>
      <c r="K603" s="4" t="n">
        <v>48</v>
      </c>
      <c r="L603" s="23" t="n">
        <f aca="false">IF(J603&gt;=5,K603/J603,"too few builds")</f>
        <v>0.369230769230769</v>
      </c>
      <c r="M603" s="22" t="n">
        <v>0</v>
      </c>
      <c r="N603" s="22" t="n">
        <v>0</v>
      </c>
      <c r="O603" s="4"/>
      <c r="P603" s="4"/>
      <c r="Q603" s="4"/>
      <c r="R603" s="4"/>
    </row>
    <row r="604" customFormat="false" ht="15" hidden="false" customHeight="false" outlineLevel="0" collapsed="false">
      <c r="A604" s="4" t="s">
        <v>2351</v>
      </c>
      <c r="B604" s="4" t="s">
        <v>418</v>
      </c>
      <c r="C604" s="4" t="s">
        <v>379</v>
      </c>
      <c r="D604" s="4" t="s">
        <v>359</v>
      </c>
      <c r="E604" s="4" t="s">
        <v>2352</v>
      </c>
      <c r="F604" s="4" t="s">
        <v>400</v>
      </c>
      <c r="G604" s="4" t="n">
        <v>20</v>
      </c>
      <c r="H604" s="4" t="s">
        <v>359</v>
      </c>
      <c r="I604" s="22" t="n">
        <v>0</v>
      </c>
      <c r="J604" s="4" t="n">
        <v>108</v>
      </c>
      <c r="K604" s="4" t="n">
        <v>9</v>
      </c>
      <c r="L604" s="23" t="n">
        <f aca="false">IF(J604&gt;=5,K604/J604,"too few builds")</f>
        <v>0.0833333333333333</v>
      </c>
      <c r="M604" s="22" t="n">
        <v>0</v>
      </c>
      <c r="N604" s="22" t="n">
        <v>0</v>
      </c>
      <c r="O604" s="4"/>
      <c r="P604" s="4"/>
      <c r="Q604" s="4"/>
      <c r="R604" s="4"/>
    </row>
    <row r="605" customFormat="false" ht="15" hidden="false" customHeight="false" outlineLevel="0" collapsed="false">
      <c r="A605" s="4" t="s">
        <v>2353</v>
      </c>
      <c r="B605" s="4" t="s">
        <v>495</v>
      </c>
      <c r="C605" s="4" t="s">
        <v>419</v>
      </c>
      <c r="D605" s="4" t="s">
        <v>359</v>
      </c>
      <c r="E605" s="4" t="s">
        <v>2354</v>
      </c>
      <c r="F605" s="4" t="s">
        <v>1530</v>
      </c>
      <c r="G605" s="4" t="n">
        <v>60</v>
      </c>
      <c r="H605" s="4" t="s">
        <v>359</v>
      </c>
      <c r="I605" s="22" t="n">
        <v>0.04</v>
      </c>
      <c r="J605" s="4" t="n">
        <v>87</v>
      </c>
      <c r="K605" s="4" t="n">
        <v>21</v>
      </c>
      <c r="L605" s="23" t="n">
        <f aca="false">IF(J605&gt;=5,K605/J605,"too few builds")</f>
        <v>0.241379310344828</v>
      </c>
      <c r="M605" s="22" t="n">
        <v>0</v>
      </c>
      <c r="N605" s="22" t="n">
        <v>0</v>
      </c>
      <c r="O605" s="4"/>
      <c r="P605" s="4"/>
      <c r="Q605" s="4"/>
      <c r="R605" s="4" t="s">
        <v>2355</v>
      </c>
    </row>
    <row r="606" customFormat="false" ht="15" hidden="false" customHeight="false" outlineLevel="0" collapsed="false">
      <c r="A606" s="4" t="s">
        <v>2356</v>
      </c>
      <c r="B606" s="4" t="s">
        <v>1414</v>
      </c>
      <c r="C606" s="4" t="s">
        <v>379</v>
      </c>
      <c r="D606" s="4" t="s">
        <v>359</v>
      </c>
      <c r="E606" s="4" t="s">
        <v>2357</v>
      </c>
      <c r="F606" s="4" t="s">
        <v>2357</v>
      </c>
      <c r="G606" s="4" t="n">
        <v>75</v>
      </c>
      <c r="H606" s="4" t="s">
        <v>359</v>
      </c>
      <c r="I606" s="22" t="n">
        <v>0.04</v>
      </c>
      <c r="J606" s="4" t="n">
        <v>40</v>
      </c>
      <c r="K606" s="4" t="n">
        <v>21</v>
      </c>
      <c r="L606" s="23" t="n">
        <f aca="false">IF(J606&gt;=5,K606/J606,"too few builds")</f>
        <v>0.525</v>
      </c>
      <c r="M606" s="22" t="n">
        <v>0</v>
      </c>
      <c r="N606" s="22" t="n">
        <v>0</v>
      </c>
      <c r="O606" s="4"/>
      <c r="P606" s="4"/>
      <c r="Q606" s="4"/>
      <c r="R606" s="4" t="s">
        <v>2358</v>
      </c>
    </row>
    <row r="607" customFormat="false" ht="15" hidden="false" customHeight="false" outlineLevel="0" collapsed="false">
      <c r="A607" s="4" t="s">
        <v>2359</v>
      </c>
      <c r="B607" s="4" t="s">
        <v>215</v>
      </c>
      <c r="C607" s="4" t="s">
        <v>332</v>
      </c>
      <c r="D607" s="4" t="s">
        <v>369</v>
      </c>
      <c r="E607" s="4" t="s">
        <v>481</v>
      </c>
      <c r="F607" s="4" t="s">
        <v>371</v>
      </c>
      <c r="G607" s="4" t="n">
        <v>0</v>
      </c>
      <c r="H607" s="4" t="s">
        <v>369</v>
      </c>
      <c r="I607" s="22" t="n">
        <v>0</v>
      </c>
      <c r="J607" s="4" t="n">
        <v>51</v>
      </c>
      <c r="K607" s="4" t="n">
        <v>21</v>
      </c>
      <c r="L607" s="23" t="n">
        <f aca="false">IF(J607&gt;=5,K607/J607,"too few builds")</f>
        <v>0.411764705882353</v>
      </c>
      <c r="M607" s="22" t="n">
        <v>0</v>
      </c>
      <c r="N607" s="22" t="n">
        <v>0</v>
      </c>
      <c r="O607" s="4"/>
      <c r="P607" s="4"/>
      <c r="Q607" s="4"/>
      <c r="R607" s="4" t="s">
        <v>2360</v>
      </c>
    </row>
    <row r="608" customFormat="false" ht="15" hidden="false" customHeight="false" outlineLevel="0" collapsed="false">
      <c r="A608" s="4" t="s">
        <v>2361</v>
      </c>
      <c r="B608" s="4" t="s">
        <v>2362</v>
      </c>
      <c r="C608" s="4" t="s">
        <v>358</v>
      </c>
      <c r="D608" s="4" t="s">
        <v>359</v>
      </c>
      <c r="E608" s="4" t="s">
        <v>2363</v>
      </c>
      <c r="F608" s="4" t="s">
        <v>2254</v>
      </c>
      <c r="G608" s="4" t="n">
        <v>80</v>
      </c>
      <c r="H608" s="4" t="s">
        <v>359</v>
      </c>
      <c r="I608" s="22" t="n">
        <v>0</v>
      </c>
      <c r="J608" s="4" t="n">
        <v>35</v>
      </c>
      <c r="K608" s="4" t="n">
        <v>12</v>
      </c>
      <c r="L608" s="23" t="n">
        <f aca="false">IF(J608&gt;=5,K608/J608,"too few builds")</f>
        <v>0.342857142857143</v>
      </c>
      <c r="M608" s="22" t="n">
        <v>0</v>
      </c>
      <c r="N608" s="22" t="n">
        <v>0</v>
      </c>
      <c r="O608" s="4"/>
      <c r="P608" s="4"/>
      <c r="Q608" s="4"/>
      <c r="R608" s="4" t="s">
        <v>2364</v>
      </c>
    </row>
    <row r="609" customFormat="false" ht="15" hidden="false" customHeight="false" outlineLevel="0" collapsed="false">
      <c r="A609" s="4" t="s">
        <v>2365</v>
      </c>
      <c r="B609" s="4" t="s">
        <v>2366</v>
      </c>
      <c r="C609" s="4" t="s">
        <v>379</v>
      </c>
      <c r="D609" s="4" t="s">
        <v>359</v>
      </c>
      <c r="E609" s="4" t="s">
        <v>2367</v>
      </c>
      <c r="F609" s="4" t="s">
        <v>2368</v>
      </c>
      <c r="G609" s="4" t="n">
        <v>115</v>
      </c>
      <c r="H609" s="4" t="s">
        <v>359</v>
      </c>
      <c r="I609" s="22" t="n">
        <v>0</v>
      </c>
      <c r="J609" s="4" t="n">
        <v>11</v>
      </c>
      <c r="K609" s="4" t="n">
        <v>3</v>
      </c>
      <c r="L609" s="23" t="n">
        <f aca="false">IF(J609&gt;=5,K609/J609,"too few builds")</f>
        <v>0.272727272727273</v>
      </c>
      <c r="M609" s="22" t="n">
        <v>0</v>
      </c>
      <c r="N609" s="22" t="n">
        <v>0</v>
      </c>
      <c r="O609" s="4"/>
      <c r="P609" s="4"/>
      <c r="Q609" s="4"/>
      <c r="R609" s="4" t="s">
        <v>2369</v>
      </c>
    </row>
    <row r="610" customFormat="false" ht="15" hidden="false" customHeight="false" outlineLevel="0" collapsed="false">
      <c r="A610" s="4" t="s">
        <v>830</v>
      </c>
      <c r="B610" s="4" t="s">
        <v>830</v>
      </c>
      <c r="C610" s="4" t="s">
        <v>379</v>
      </c>
      <c r="D610" s="4" t="s">
        <v>359</v>
      </c>
      <c r="E610" s="4" t="s">
        <v>732</v>
      </c>
      <c r="F610" s="4" t="s">
        <v>732</v>
      </c>
      <c r="G610" s="4" t="n">
        <v>20</v>
      </c>
      <c r="H610" s="4" t="s">
        <v>359</v>
      </c>
      <c r="I610" s="22" t="n">
        <v>0.05</v>
      </c>
      <c r="J610" s="4" t="n">
        <v>348</v>
      </c>
      <c r="K610" s="4" t="n">
        <v>29</v>
      </c>
      <c r="L610" s="23" t="n">
        <f aca="false">IF(J610&gt;=5,K610/J610,"too few builds")</f>
        <v>0.0833333333333333</v>
      </c>
      <c r="M610" s="22" t="n">
        <v>0</v>
      </c>
      <c r="N610" s="22" t="n">
        <v>0</v>
      </c>
      <c r="O610" s="4"/>
      <c r="P610" s="4" t="s">
        <v>2370</v>
      </c>
      <c r="Q610" s="4"/>
      <c r="R610" s="4" t="s">
        <v>2371</v>
      </c>
    </row>
    <row r="611" customFormat="false" ht="15" hidden="false" customHeight="false" outlineLevel="0" collapsed="false">
      <c r="A611" s="4" t="s">
        <v>2372</v>
      </c>
      <c r="B611" s="4" t="s">
        <v>756</v>
      </c>
      <c r="C611" s="4" t="s">
        <v>419</v>
      </c>
      <c r="D611" s="4" t="s">
        <v>359</v>
      </c>
      <c r="E611" s="4" t="s">
        <v>2373</v>
      </c>
      <c r="F611" s="4" t="s">
        <v>2373</v>
      </c>
      <c r="G611" s="4" t="n">
        <v>50</v>
      </c>
      <c r="H611" s="4" t="s">
        <v>359</v>
      </c>
      <c r="I611" s="22" t="n">
        <v>0.11</v>
      </c>
      <c r="J611" s="4" t="n">
        <v>113</v>
      </c>
      <c r="K611" s="4" t="n">
        <v>51</v>
      </c>
      <c r="L611" s="23" t="n">
        <f aca="false">IF(J611&gt;=5,K611/J611,"too few builds")</f>
        <v>0.451327433628319</v>
      </c>
      <c r="M611" s="22" t="n">
        <v>0</v>
      </c>
      <c r="N611" s="22" t="n">
        <v>0</v>
      </c>
      <c r="O611" s="4"/>
      <c r="P611" s="4" t="s">
        <v>2374</v>
      </c>
      <c r="Q611" s="4"/>
      <c r="R611" s="4" t="s">
        <v>2375</v>
      </c>
    </row>
    <row r="612" customFormat="false" ht="15" hidden="false" customHeight="false" outlineLevel="0" collapsed="false">
      <c r="A612" s="4" t="s">
        <v>2376</v>
      </c>
      <c r="B612" s="4" t="s">
        <v>711</v>
      </c>
      <c r="C612" s="4" t="s">
        <v>379</v>
      </c>
      <c r="D612" s="4" t="s">
        <v>359</v>
      </c>
      <c r="E612" s="4" t="s">
        <v>529</v>
      </c>
      <c r="F612" s="4" t="s">
        <v>529</v>
      </c>
      <c r="G612" s="4" t="n">
        <v>30</v>
      </c>
      <c r="H612" s="4" t="s">
        <v>359</v>
      </c>
      <c r="I612" s="22" t="n">
        <v>0.17</v>
      </c>
      <c r="J612" s="4" t="n">
        <v>147</v>
      </c>
      <c r="K612" s="4" t="n">
        <v>74</v>
      </c>
      <c r="L612" s="23" t="n">
        <f aca="false">IF(J612&gt;=5,K612/J612,"too few builds")</f>
        <v>0.503401360544218</v>
      </c>
      <c r="M612" s="22" t="n">
        <v>0</v>
      </c>
      <c r="N612" s="22" t="n">
        <v>0</v>
      </c>
      <c r="O612" s="4"/>
      <c r="P612" s="4"/>
      <c r="Q612" s="4"/>
      <c r="R612" s="4" t="s">
        <v>2377</v>
      </c>
    </row>
    <row r="613" customFormat="false" ht="15" hidden="false" customHeight="false" outlineLevel="0" collapsed="false">
      <c r="A613" s="4" t="s">
        <v>2378</v>
      </c>
      <c r="B613" s="4" t="s">
        <v>1272</v>
      </c>
      <c r="C613" s="4" t="s">
        <v>379</v>
      </c>
      <c r="D613" s="4" t="s">
        <v>359</v>
      </c>
      <c r="E613" s="4" t="s">
        <v>1273</v>
      </c>
      <c r="F613" s="4" t="s">
        <v>1273</v>
      </c>
      <c r="G613" s="4" t="n">
        <v>50</v>
      </c>
      <c r="H613" s="4" t="s">
        <v>359</v>
      </c>
      <c r="I613" s="22" t="n">
        <v>0.09</v>
      </c>
      <c r="J613" s="4" t="n">
        <v>99</v>
      </c>
      <c r="K613" s="4" t="n">
        <v>41</v>
      </c>
      <c r="L613" s="23" t="n">
        <f aca="false">IF(J613&gt;=5,K613/J613,"too few builds")</f>
        <v>0.414141414141414</v>
      </c>
      <c r="M613" s="22" t="n">
        <v>0</v>
      </c>
      <c r="N613" s="22" t="n">
        <v>0</v>
      </c>
      <c r="O613" s="4"/>
      <c r="P613" s="4"/>
      <c r="Q613" s="4"/>
      <c r="R613" s="4" t="s">
        <v>2379</v>
      </c>
    </row>
    <row r="614" customFormat="false" ht="15" hidden="false" customHeight="false" outlineLevel="0" collapsed="false">
      <c r="A614" s="4" t="s">
        <v>2380</v>
      </c>
      <c r="B614" s="4" t="s">
        <v>740</v>
      </c>
      <c r="C614" s="4" t="s">
        <v>584</v>
      </c>
      <c r="D614" s="4" t="s">
        <v>369</v>
      </c>
      <c r="E614" s="4" t="s">
        <v>585</v>
      </c>
      <c r="F614" s="4" t="s">
        <v>371</v>
      </c>
      <c r="G614" s="4" t="n">
        <v>0</v>
      </c>
      <c r="H614" s="4" t="s">
        <v>369</v>
      </c>
      <c r="I614" s="22" t="n">
        <v>0</v>
      </c>
      <c r="J614" s="4" t="n">
        <v>500</v>
      </c>
      <c r="K614" s="4" t="n">
        <v>7</v>
      </c>
      <c r="L614" s="23" t="n">
        <f aca="false">IF(J614&gt;=5,K614/J614,"too few builds")</f>
        <v>0.014</v>
      </c>
      <c r="M614" s="22" t="n">
        <v>0</v>
      </c>
      <c r="N614" s="22" t="n">
        <v>0</v>
      </c>
      <c r="O614" s="4"/>
      <c r="P614" s="4"/>
      <c r="Q614" s="4"/>
      <c r="R614" s="4" t="s">
        <v>2381</v>
      </c>
    </row>
    <row r="615" customFormat="false" ht="15" hidden="false" customHeight="false" outlineLevel="0" collapsed="false">
      <c r="A615" s="4" t="s">
        <v>2382</v>
      </c>
      <c r="B615" s="4" t="s">
        <v>807</v>
      </c>
      <c r="C615" s="4" t="s">
        <v>358</v>
      </c>
      <c r="D615" s="4" t="s">
        <v>359</v>
      </c>
      <c r="E615" s="4" t="s">
        <v>2383</v>
      </c>
      <c r="F615" s="4" t="s">
        <v>1237</v>
      </c>
      <c r="G615" s="4" t="n">
        <v>25</v>
      </c>
      <c r="H615" s="4" t="s">
        <v>359</v>
      </c>
      <c r="I615" s="22" t="n">
        <v>0.53</v>
      </c>
      <c r="J615" s="4" t="n">
        <v>383</v>
      </c>
      <c r="K615" s="4" t="n">
        <v>259</v>
      </c>
      <c r="L615" s="23" t="n">
        <f aca="false">IF(J615&gt;=5,K615/J615,"too few builds")</f>
        <v>0.676240208877285</v>
      </c>
      <c r="M615" s="22" t="n">
        <v>0</v>
      </c>
      <c r="N615" s="22" t="n">
        <v>0</v>
      </c>
      <c r="O615" s="4"/>
      <c r="P615" s="4"/>
      <c r="Q615" s="4"/>
      <c r="R615" s="4" t="s">
        <v>2384</v>
      </c>
    </row>
    <row r="616" customFormat="false" ht="15" hidden="false" customHeight="false" outlineLevel="0" collapsed="false">
      <c r="A616" s="4" t="s">
        <v>2385</v>
      </c>
      <c r="B616" s="4" t="s">
        <v>432</v>
      </c>
      <c r="C616" s="4" t="s">
        <v>379</v>
      </c>
      <c r="D616" s="4" t="s">
        <v>369</v>
      </c>
      <c r="E616" s="4" t="s">
        <v>2338</v>
      </c>
      <c r="F616" s="4" t="s">
        <v>2338</v>
      </c>
      <c r="G616" s="4" t="n">
        <v>75</v>
      </c>
      <c r="H616" s="4" t="s">
        <v>359</v>
      </c>
      <c r="I616" s="22" t="n">
        <v>0.08</v>
      </c>
      <c r="J616" s="4" t="n">
        <v>92</v>
      </c>
      <c r="K616" s="4" t="n">
        <v>32</v>
      </c>
      <c r="L616" s="23" t="n">
        <f aca="false">IF(J616&gt;=5,K616/J616,"too few builds")</f>
        <v>0.347826086956522</v>
      </c>
      <c r="M616" s="22" t="n">
        <v>0</v>
      </c>
      <c r="N616" s="22" t="n">
        <v>0</v>
      </c>
      <c r="O616" s="4"/>
      <c r="P616" s="4"/>
      <c r="Q616" s="4"/>
      <c r="R616" s="4" t="s">
        <v>2386</v>
      </c>
    </row>
    <row r="617" customFormat="false" ht="15" hidden="false" customHeight="false" outlineLevel="0" collapsed="false">
      <c r="A617" s="4" t="s">
        <v>2387</v>
      </c>
      <c r="B617" s="4" t="s">
        <v>441</v>
      </c>
      <c r="C617" s="4" t="s">
        <v>379</v>
      </c>
      <c r="D617" s="4" t="s">
        <v>359</v>
      </c>
      <c r="E617" s="4" t="s">
        <v>424</v>
      </c>
      <c r="F617" s="4" t="s">
        <v>424</v>
      </c>
      <c r="G617" s="4" t="n">
        <v>40</v>
      </c>
      <c r="H617" s="4" t="s">
        <v>359</v>
      </c>
      <c r="I617" s="22" t="n">
        <v>0.19</v>
      </c>
      <c r="J617" s="4" t="n">
        <v>100</v>
      </c>
      <c r="K617" s="4" t="n">
        <v>84</v>
      </c>
      <c r="L617" s="23" t="n">
        <f aca="false">IF(J617&gt;=5,K617/J617,"too few builds")</f>
        <v>0.84</v>
      </c>
      <c r="M617" s="22" t="n">
        <v>0</v>
      </c>
      <c r="N617" s="22" t="n">
        <v>0</v>
      </c>
      <c r="O617" s="4"/>
      <c r="P617" s="4"/>
      <c r="Q617" s="4"/>
      <c r="R617" s="4" t="s">
        <v>2388</v>
      </c>
    </row>
    <row r="618" customFormat="false" ht="15" hidden="false" customHeight="false" outlineLevel="0" collapsed="false">
      <c r="A618" s="4" t="s">
        <v>2389</v>
      </c>
      <c r="B618" s="4" t="s">
        <v>1965</v>
      </c>
      <c r="C618" s="4" t="s">
        <v>379</v>
      </c>
      <c r="D618" s="4" t="s">
        <v>359</v>
      </c>
      <c r="E618" s="4" t="s">
        <v>2390</v>
      </c>
      <c r="F618" s="4" t="s">
        <v>2390</v>
      </c>
      <c r="G618" s="4" t="n">
        <v>60</v>
      </c>
      <c r="H618" s="4" t="s">
        <v>359</v>
      </c>
      <c r="I618" s="22" t="n">
        <v>0</v>
      </c>
      <c r="J618" s="4" t="n">
        <v>38</v>
      </c>
      <c r="K618" s="4" t="n">
        <v>3</v>
      </c>
      <c r="L618" s="23" t="n">
        <f aca="false">IF(J618&gt;=5,K618/J618,"too few builds")</f>
        <v>0.0789473684210526</v>
      </c>
      <c r="M618" s="22" t="n">
        <v>0</v>
      </c>
      <c r="N618" s="22" t="n">
        <v>0</v>
      </c>
      <c r="O618" s="4"/>
      <c r="P618" s="4"/>
      <c r="Q618" s="4"/>
      <c r="R618" s="4" t="s">
        <v>2391</v>
      </c>
    </row>
    <row r="619" customFormat="false" ht="15" hidden="false" customHeight="false" outlineLevel="0" collapsed="false">
      <c r="A619" s="4" t="s">
        <v>2392</v>
      </c>
      <c r="B619" s="4" t="s">
        <v>2393</v>
      </c>
      <c r="C619" s="4" t="s">
        <v>584</v>
      </c>
      <c r="D619" s="4" t="s">
        <v>369</v>
      </c>
      <c r="E619" s="4" t="s">
        <v>400</v>
      </c>
      <c r="F619" s="4" t="s">
        <v>400</v>
      </c>
      <c r="G619" s="4" t="n">
        <v>20</v>
      </c>
      <c r="H619" s="4" t="s">
        <v>359</v>
      </c>
      <c r="I619" s="22" t="n">
        <v>0</v>
      </c>
      <c r="J619" s="4" t="n">
        <v>108</v>
      </c>
      <c r="K619" s="4" t="n">
        <v>8</v>
      </c>
      <c r="L619" s="23" t="n">
        <f aca="false">IF(J619&gt;=5,K619/J619,"too few builds")</f>
        <v>0.0740740740740741</v>
      </c>
      <c r="M619" s="22" t="n">
        <v>0</v>
      </c>
      <c r="N619" s="22" t="n">
        <v>0</v>
      </c>
      <c r="O619" s="4"/>
      <c r="P619" s="4"/>
      <c r="Q619" s="4"/>
      <c r="R619" s="4" t="s">
        <v>2394</v>
      </c>
    </row>
    <row r="620" customFormat="false" ht="15" hidden="false" customHeight="false" outlineLevel="0" collapsed="false">
      <c r="A620" s="4" t="s">
        <v>2395</v>
      </c>
      <c r="B620" s="4" t="s">
        <v>807</v>
      </c>
      <c r="C620" s="4" t="s">
        <v>419</v>
      </c>
      <c r="D620" s="4" t="s">
        <v>359</v>
      </c>
      <c r="E620" s="4" t="s">
        <v>2396</v>
      </c>
      <c r="F620" s="4" t="s">
        <v>809</v>
      </c>
      <c r="G620" s="4" t="n">
        <v>210</v>
      </c>
      <c r="H620" s="4" t="s">
        <v>359</v>
      </c>
      <c r="I620" s="22" t="n">
        <v>0</v>
      </c>
      <c r="J620" s="4" t="n">
        <v>5</v>
      </c>
      <c r="K620" s="4" t="n">
        <v>5</v>
      </c>
      <c r="L620" s="23" t="n">
        <f aca="false">IF(J620&gt;=5,K620/J620,"too few builds")</f>
        <v>1</v>
      </c>
      <c r="M620" s="22" t="n">
        <v>0</v>
      </c>
      <c r="N620" s="22" t="n">
        <v>0</v>
      </c>
      <c r="O620" s="4"/>
      <c r="P620" s="4"/>
      <c r="Q620" s="4"/>
      <c r="R620" s="4" t="s">
        <v>2397</v>
      </c>
    </row>
    <row r="621" customFormat="false" ht="15" hidden="false" customHeight="false" outlineLevel="0" collapsed="false">
      <c r="A621" s="4" t="s">
        <v>558</v>
      </c>
      <c r="B621" s="4" t="s">
        <v>722</v>
      </c>
      <c r="C621" s="4" t="s">
        <v>379</v>
      </c>
      <c r="D621" s="4" t="s">
        <v>359</v>
      </c>
      <c r="E621" s="4" t="s">
        <v>724</v>
      </c>
      <c r="F621" s="4" t="s">
        <v>724</v>
      </c>
      <c r="G621" s="4" t="n">
        <v>80</v>
      </c>
      <c r="H621" s="4" t="s">
        <v>359</v>
      </c>
      <c r="I621" s="22" t="n">
        <v>0.04</v>
      </c>
      <c r="J621" s="4" t="n">
        <v>23</v>
      </c>
      <c r="K621" s="4" t="n">
        <v>19</v>
      </c>
      <c r="L621" s="23" t="n">
        <f aca="false">IF(J621&gt;=5,K621/J621,"too few builds")</f>
        <v>0.826086956521739</v>
      </c>
      <c r="M621" s="22" t="n">
        <v>0</v>
      </c>
      <c r="N621" s="22" t="n">
        <v>0</v>
      </c>
      <c r="O621" s="4"/>
      <c r="P621" s="4"/>
      <c r="Q621" s="4" t="s">
        <v>2398</v>
      </c>
      <c r="R621" s="4" t="s">
        <v>2399</v>
      </c>
    </row>
    <row r="622" customFormat="false" ht="15" hidden="false" customHeight="false" outlineLevel="0" collapsed="false">
      <c r="A622" s="4" t="s">
        <v>2400</v>
      </c>
      <c r="B622" s="4" t="s">
        <v>2401</v>
      </c>
      <c r="C622" s="4" t="s">
        <v>419</v>
      </c>
      <c r="D622" s="4" t="s">
        <v>359</v>
      </c>
      <c r="E622" s="4" t="s">
        <v>2402</v>
      </c>
      <c r="F622" s="4" t="s">
        <v>1457</v>
      </c>
      <c r="G622" s="4" t="n">
        <v>40</v>
      </c>
      <c r="H622" s="4" t="s">
        <v>359</v>
      </c>
      <c r="I622" s="22" t="n">
        <v>0.63</v>
      </c>
      <c r="J622" s="4" t="n">
        <v>356</v>
      </c>
      <c r="K622" s="4" t="n">
        <v>299</v>
      </c>
      <c r="L622" s="23" t="n">
        <f aca="false">IF(J622&gt;=5,K622/J622,"too few builds")</f>
        <v>0.839887640449438</v>
      </c>
      <c r="M622" s="22" t="n">
        <v>0.1</v>
      </c>
      <c r="N622" s="22" t="n">
        <v>0</v>
      </c>
      <c r="O622" s="4"/>
      <c r="P622" s="4"/>
      <c r="Q622" s="4"/>
      <c r="R622" s="4" t="s">
        <v>2403</v>
      </c>
    </row>
    <row r="623" customFormat="false" ht="15" hidden="false" customHeight="false" outlineLevel="0" collapsed="false">
      <c r="A623" s="4" t="s">
        <v>2404</v>
      </c>
      <c r="B623" s="4" t="s">
        <v>761</v>
      </c>
      <c r="C623" s="4" t="s">
        <v>379</v>
      </c>
      <c r="D623" s="4" t="s">
        <v>359</v>
      </c>
      <c r="E623" s="4" t="s">
        <v>787</v>
      </c>
      <c r="F623" s="4" t="s">
        <v>787</v>
      </c>
      <c r="G623" s="4" t="n">
        <v>75</v>
      </c>
      <c r="H623" s="4" t="s">
        <v>359</v>
      </c>
      <c r="I623" s="22" t="n">
        <v>0.04</v>
      </c>
      <c r="J623" s="4" t="n">
        <v>68</v>
      </c>
      <c r="K623" s="4" t="n">
        <v>23</v>
      </c>
      <c r="L623" s="23" t="n">
        <f aca="false">IF(J623&gt;=5,K623/J623,"too few builds")</f>
        <v>0.338235294117647</v>
      </c>
      <c r="M623" s="22" t="n">
        <v>0</v>
      </c>
      <c r="N623" s="22" t="n">
        <v>0</v>
      </c>
      <c r="O623" s="4"/>
      <c r="P623" s="4"/>
      <c r="Q623" s="4"/>
      <c r="R623" s="4" t="s">
        <v>2405</v>
      </c>
    </row>
  </sheetData>
  <autoFilter ref="A1:R6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9"/>
    <col collapsed="false" customWidth="true" hidden="false" outlineLevel="0" max="4" min="4" style="0" width="7"/>
    <col collapsed="false" customWidth="true" hidden="false" outlineLevel="0" max="5" min="5" style="0" width="30"/>
    <col collapsed="false" customWidth="true" hidden="false" outlineLevel="0" max="6" min="6" style="0" width="10"/>
    <col collapsed="false" customWidth="true" hidden="false" outlineLevel="0" max="7" min="7" style="0" width="8"/>
    <col collapsed="false" customWidth="true" hidden="false" outlineLevel="0" max="8" min="8" style="0" width="10"/>
    <col collapsed="false" customWidth="true" hidden="false" outlineLevel="0" max="14" min="9" style="0" width="8"/>
    <col collapsed="false" customWidth="true" hidden="false" outlineLevel="0" max="15" min="15" style="0" width="12"/>
    <col collapsed="false" customWidth="true" hidden="false" outlineLevel="0" max="16" min="16" style="0" width="14"/>
  </cols>
  <sheetData>
    <row r="1" customFormat="false" ht="35.05" hidden="false" customHeight="false" outlineLevel="0" collapsed="false">
      <c r="A1" s="21" t="s">
        <v>2406</v>
      </c>
      <c r="B1" s="21" t="s">
        <v>2407</v>
      </c>
      <c r="C1" s="21" t="s">
        <v>340</v>
      </c>
      <c r="D1" s="21" t="s">
        <v>2408</v>
      </c>
      <c r="E1" s="21" t="s">
        <v>343</v>
      </c>
      <c r="F1" s="21" t="s">
        <v>2409</v>
      </c>
      <c r="G1" s="21" t="s">
        <v>2410</v>
      </c>
      <c r="H1" s="21" t="s">
        <v>2411</v>
      </c>
      <c r="I1" s="21" t="s">
        <v>2412</v>
      </c>
      <c r="J1" s="21" t="s">
        <v>2413</v>
      </c>
      <c r="K1" s="21" t="s">
        <v>2414</v>
      </c>
      <c r="L1" s="21" t="s">
        <v>2415</v>
      </c>
      <c r="M1" s="21" t="s">
        <v>2416</v>
      </c>
      <c r="N1" s="21" t="s">
        <v>2417</v>
      </c>
      <c r="O1" s="21" t="s">
        <v>2418</v>
      </c>
      <c r="P1" s="21" t="s">
        <v>2419</v>
      </c>
    </row>
    <row r="2" customFormat="false" ht="15" hidden="false" customHeight="false" outlineLevel="0" collapsed="false">
      <c r="A2" s="4" t="s">
        <v>2420</v>
      </c>
      <c r="B2" s="4" t="s">
        <v>2421</v>
      </c>
      <c r="C2" s="4" t="s">
        <v>2422</v>
      </c>
      <c r="D2" s="4" t="s">
        <v>2423</v>
      </c>
      <c r="E2" s="4" t="s">
        <v>585</v>
      </c>
      <c r="F2" s="4"/>
      <c r="G2" s="4" t="n">
        <v>0</v>
      </c>
      <c r="H2" s="4"/>
      <c r="I2" s="4" t="n">
        <v>0</v>
      </c>
      <c r="J2" s="4"/>
      <c r="K2" s="4"/>
      <c r="L2" s="4"/>
      <c r="M2" s="4"/>
      <c r="N2" s="4"/>
    </row>
    <row r="3" customFormat="false" ht="15" hidden="false" customHeight="false" outlineLevel="0" collapsed="false">
      <c r="A3" s="4" t="s">
        <v>2424</v>
      </c>
      <c r="B3" s="4" t="s">
        <v>2421</v>
      </c>
      <c r="C3" s="4" t="s">
        <v>2422</v>
      </c>
      <c r="D3" s="4" t="s">
        <v>2423</v>
      </c>
      <c r="E3" s="4" t="s">
        <v>585</v>
      </c>
      <c r="F3" s="4"/>
      <c r="G3" s="4" t="n">
        <v>0</v>
      </c>
      <c r="H3" s="4"/>
      <c r="I3" s="4" t="n">
        <v>0</v>
      </c>
      <c r="J3" s="4"/>
      <c r="K3" s="4"/>
      <c r="L3" s="4"/>
      <c r="M3" s="4"/>
      <c r="N3" s="4"/>
    </row>
    <row r="4" customFormat="false" ht="15" hidden="false" customHeight="false" outlineLevel="0" collapsed="false">
      <c r="A4" s="4" t="s">
        <v>2425</v>
      </c>
      <c r="B4" s="4" t="s">
        <v>45</v>
      </c>
      <c r="C4" s="4" t="s">
        <v>2426</v>
      </c>
      <c r="D4" s="4" t="s">
        <v>2427</v>
      </c>
      <c r="E4" s="4" t="s">
        <v>1207</v>
      </c>
      <c r="F4" s="4"/>
      <c r="G4" s="4" t="n">
        <v>0</v>
      </c>
      <c r="H4" s="4"/>
      <c r="I4" s="4" t="n">
        <v>0</v>
      </c>
      <c r="J4" s="4"/>
      <c r="K4" s="4"/>
      <c r="L4" s="4"/>
      <c r="M4" s="4"/>
      <c r="N4" s="4"/>
    </row>
    <row r="5" customFormat="false" ht="15" hidden="false" customHeight="false" outlineLevel="0" collapsed="false">
      <c r="A5" s="4" t="s">
        <v>2428</v>
      </c>
      <c r="B5" s="4" t="s">
        <v>45</v>
      </c>
      <c r="C5" s="4" t="s">
        <v>2429</v>
      </c>
      <c r="D5" s="4" t="s">
        <v>2427</v>
      </c>
      <c r="E5" s="4" t="s">
        <v>1347</v>
      </c>
      <c r="F5" s="4"/>
      <c r="G5" s="4" t="n">
        <v>0</v>
      </c>
      <c r="H5" s="4"/>
      <c r="I5" s="4" t="n">
        <v>0</v>
      </c>
      <c r="J5" s="4"/>
      <c r="K5" s="4"/>
      <c r="L5" s="4"/>
      <c r="M5" s="4"/>
      <c r="N5" s="4"/>
    </row>
    <row r="6" customFormat="false" ht="15" hidden="false" customHeight="false" outlineLevel="0" collapsed="false">
      <c r="A6" s="4" t="s">
        <v>2430</v>
      </c>
      <c r="B6" s="4" t="s">
        <v>65</v>
      </c>
      <c r="C6" s="4" t="s">
        <v>2422</v>
      </c>
      <c r="D6" s="4" t="s">
        <v>2427</v>
      </c>
      <c r="E6" s="4" t="s">
        <v>1338</v>
      </c>
      <c r="F6" s="4" t="s">
        <v>65</v>
      </c>
      <c r="G6" s="4" t="n">
        <v>2.75</v>
      </c>
      <c r="H6" s="4"/>
      <c r="I6" s="4" t="n">
        <v>0</v>
      </c>
      <c r="J6" s="4" t="n">
        <v>22</v>
      </c>
      <c r="K6" s="4" t="n">
        <v>24.4</v>
      </c>
      <c r="L6" s="4" t="n">
        <v>26.8</v>
      </c>
      <c r="M6" s="4" t="n">
        <v>29.2</v>
      </c>
      <c r="N6" s="4" t="n">
        <v>31.6</v>
      </c>
      <c r="O6" s="9" t="n">
        <f aca="false">MAX(1,MIN(5,1+INT(IFERROR(INDEX(Calculator!$E$6:$E$23,MATCH("WND",Calculator!$A$6:$A$23,0)),0)/20)))</f>
        <v>1</v>
      </c>
      <c r="P6" s="24" t="n">
        <f aca="false">INDEX(J6:N6,O6)*(1+(IFERROR(G6/10*INDEX(Calculator!$E$6:$E$23,MATCH(F6,Calculator!$A$6:$A$23,0))/100,0)+IFERROR(I6/10*INDEX(Calculator!$E$6:$E$23,MATCH(H6,Calculator!$A$6:$A$23,0))/100,0))*(1+Constants!$B$25*Calculator!$C$28))*(1+Calculator!$C$45)*(1-(1-MIN(0.5,Constants!$B$26*Calculator!$C$28))*Constants!$B$6)</f>
        <v>20.4765</v>
      </c>
    </row>
    <row r="7" customFormat="false" ht="15" hidden="false" customHeight="false" outlineLevel="0" collapsed="false">
      <c r="A7" s="4" t="s">
        <v>2431</v>
      </c>
      <c r="B7" s="4" t="s">
        <v>1784</v>
      </c>
      <c r="C7" s="4" t="s">
        <v>2422</v>
      </c>
      <c r="D7" s="4" t="s">
        <v>2432</v>
      </c>
      <c r="E7" s="4" t="s">
        <v>505</v>
      </c>
      <c r="F7" s="4"/>
      <c r="G7" s="4" t="n">
        <v>0</v>
      </c>
      <c r="H7" s="4"/>
      <c r="I7" s="4" t="n">
        <v>0</v>
      </c>
      <c r="J7" s="4"/>
      <c r="K7" s="4"/>
      <c r="L7" s="4"/>
      <c r="M7" s="4"/>
      <c r="N7" s="4"/>
    </row>
    <row r="8" customFormat="false" ht="15" hidden="false" customHeight="false" outlineLevel="0" collapsed="false">
      <c r="A8" s="4" t="s">
        <v>2433</v>
      </c>
      <c r="B8" s="4" t="s">
        <v>1784</v>
      </c>
      <c r="C8" s="4" t="s">
        <v>2426</v>
      </c>
      <c r="D8" s="4" t="s">
        <v>2432</v>
      </c>
      <c r="E8" s="4" t="s">
        <v>505</v>
      </c>
      <c r="F8" s="4"/>
      <c r="G8" s="4" t="n">
        <v>0</v>
      </c>
      <c r="H8" s="4"/>
      <c r="I8" s="4" t="n">
        <v>0</v>
      </c>
      <c r="J8" s="4"/>
      <c r="K8" s="4"/>
      <c r="L8" s="4"/>
      <c r="M8" s="4"/>
      <c r="N8" s="4"/>
    </row>
    <row r="9" customFormat="false" ht="15" hidden="false" customHeight="false" outlineLevel="0" collapsed="false">
      <c r="A9" s="4" t="s">
        <v>2434</v>
      </c>
      <c r="B9" s="4" t="s">
        <v>1784</v>
      </c>
      <c r="C9" s="4" t="s">
        <v>2422</v>
      </c>
      <c r="D9" s="4" t="s">
        <v>2432</v>
      </c>
      <c r="E9" s="4" t="s">
        <v>505</v>
      </c>
      <c r="F9" s="4"/>
      <c r="G9" s="4" t="n">
        <v>0</v>
      </c>
      <c r="H9" s="4"/>
      <c r="I9" s="4" t="n">
        <v>0</v>
      </c>
      <c r="J9" s="4"/>
      <c r="K9" s="4"/>
      <c r="L9" s="4"/>
      <c r="M9" s="4"/>
      <c r="N9" s="4"/>
    </row>
    <row r="10" customFormat="false" ht="15" hidden="false" customHeight="false" outlineLevel="0" collapsed="false">
      <c r="A10" s="4" t="s">
        <v>2435</v>
      </c>
      <c r="B10" s="4" t="s">
        <v>1811</v>
      </c>
      <c r="C10" s="4" t="s">
        <v>2422</v>
      </c>
      <c r="D10" s="4" t="s">
        <v>2432</v>
      </c>
      <c r="E10" s="4" t="s">
        <v>1277</v>
      </c>
      <c r="F10" s="4"/>
      <c r="G10" s="4" t="n">
        <v>0</v>
      </c>
      <c r="H10" s="4"/>
      <c r="I10" s="4" t="n">
        <v>0</v>
      </c>
      <c r="J10" s="4"/>
      <c r="K10" s="4"/>
      <c r="L10" s="4"/>
      <c r="M10" s="4"/>
      <c r="N10" s="4"/>
    </row>
    <row r="11" customFormat="false" ht="15" hidden="false" customHeight="false" outlineLevel="0" collapsed="false">
      <c r="A11" s="4" t="s">
        <v>2436</v>
      </c>
      <c r="B11" s="4" t="s">
        <v>1813</v>
      </c>
      <c r="C11" s="4" t="s">
        <v>2422</v>
      </c>
      <c r="D11" s="4" t="s">
        <v>2432</v>
      </c>
      <c r="E11" s="4" t="s">
        <v>971</v>
      </c>
      <c r="F11" s="4"/>
      <c r="G11" s="4" t="n">
        <v>0</v>
      </c>
      <c r="H11" s="4"/>
      <c r="I11" s="4" t="n">
        <v>0</v>
      </c>
      <c r="J11" s="4"/>
      <c r="K11" s="4"/>
      <c r="L11" s="4"/>
      <c r="M11" s="4"/>
      <c r="N11" s="4"/>
    </row>
    <row r="12" customFormat="false" ht="15" hidden="false" customHeight="false" outlineLevel="0" collapsed="false">
      <c r="A12" s="4" t="s">
        <v>2437</v>
      </c>
      <c r="B12" s="4" t="s">
        <v>2438</v>
      </c>
      <c r="C12" s="4" t="s">
        <v>2422</v>
      </c>
      <c r="D12" s="4" t="s">
        <v>2427</v>
      </c>
      <c r="E12" s="4" t="s">
        <v>2439</v>
      </c>
      <c r="F12" s="4" t="s">
        <v>59</v>
      </c>
      <c r="G12" s="4" t="n">
        <v>2.75</v>
      </c>
      <c r="H12" s="4"/>
      <c r="I12" s="4" t="n">
        <v>0</v>
      </c>
      <c r="J12" s="4" t="n">
        <v>16</v>
      </c>
      <c r="K12" s="4" t="n">
        <v>22.4</v>
      </c>
      <c r="L12" s="4" t="n">
        <v>28.8</v>
      </c>
      <c r="M12" s="4" t="n">
        <v>35.2</v>
      </c>
      <c r="N12" s="4" t="n">
        <v>41.6</v>
      </c>
      <c r="O12" s="9" t="n">
        <f aca="false">MAX(1,MIN(5,1+INT(IFERROR(INDEX(Calculator!$E$6:$E$23,MATCH("FLM",Calculator!$A$6:$A$23,0)),0)/20)))</f>
        <v>1</v>
      </c>
      <c r="P12" s="24" t="n">
        <f aca="false">INDEX(J12:N12,O12)*(1+(IFERROR(G12/10*INDEX(Calculator!$E$6:$E$23,MATCH(F12,Calculator!$A$6:$A$23,0))/100,0)+IFERROR(I12/10*INDEX(Calculator!$E$6:$E$23,MATCH(H12,Calculator!$A$6:$A$23,0))/100,0))*(1+Constants!$B$25*Calculator!$C$28))*(1+Calculator!$C$45)*(1-(1-MIN(0.5,Constants!$B$26*Calculator!$C$28))*Constants!$B$6)</f>
        <v>14.892</v>
      </c>
    </row>
    <row r="13" customFormat="false" ht="15" hidden="false" customHeight="false" outlineLevel="0" collapsed="false">
      <c r="A13" s="4" t="s">
        <v>2440</v>
      </c>
      <c r="B13" s="4" t="s">
        <v>65</v>
      </c>
      <c r="C13" s="4" t="s">
        <v>2422</v>
      </c>
      <c r="D13" s="4" t="s">
        <v>2427</v>
      </c>
      <c r="E13" s="4" t="s">
        <v>497</v>
      </c>
      <c r="F13" s="4" t="s">
        <v>65</v>
      </c>
      <c r="G13" s="4" t="n">
        <v>2.75</v>
      </c>
      <c r="H13" s="4"/>
      <c r="I13" s="4" t="n">
        <v>0</v>
      </c>
      <c r="J13" s="4" t="n">
        <v>21.25</v>
      </c>
      <c r="K13" s="4" t="n">
        <v>26.75</v>
      </c>
      <c r="L13" s="4" t="n">
        <v>32.25</v>
      </c>
      <c r="M13" s="4" t="n">
        <v>37.75</v>
      </c>
      <c r="N13" s="4" t="n">
        <v>43.25</v>
      </c>
      <c r="O13" s="9" t="n">
        <f aca="false">MAX(1,MIN(5,1+INT(IFERROR(INDEX(Calculator!$E$6:$E$23,MATCH("WND",Calculator!$A$6:$A$23,0)),0)/20)))</f>
        <v>1</v>
      </c>
      <c r="P13" s="24" t="n">
        <f aca="false">INDEX(J13:N13,O13)*(1+(IFERROR(G13/10*INDEX(Calculator!$E$6:$E$23,MATCH(F13,Calculator!$A$6:$A$23,0))/100,0)+IFERROR(I13/10*INDEX(Calculator!$E$6:$E$23,MATCH(H13,Calculator!$A$6:$A$23,0))/100,0))*(1+Constants!$B$25*Calculator!$C$28))*(1+Calculator!$C$45)*(1-(1-MIN(0.5,Constants!$B$26*Calculator!$C$28))*Constants!$B$6)</f>
        <v>19.7784375</v>
      </c>
    </row>
    <row r="14" customFormat="false" ht="15" hidden="false" customHeight="false" outlineLevel="0" collapsed="false">
      <c r="A14" s="4" t="s">
        <v>2441</v>
      </c>
      <c r="B14" s="4" t="s">
        <v>2421</v>
      </c>
      <c r="C14" s="4" t="s">
        <v>2429</v>
      </c>
      <c r="D14" s="4" t="s">
        <v>2423</v>
      </c>
      <c r="E14" s="4" t="s">
        <v>585</v>
      </c>
      <c r="F14" s="4"/>
      <c r="G14" s="4" t="n">
        <v>0</v>
      </c>
      <c r="H14" s="4"/>
      <c r="I14" s="4" t="n">
        <v>0</v>
      </c>
      <c r="J14" s="4"/>
      <c r="K14" s="4"/>
      <c r="L14" s="4"/>
      <c r="M14" s="4"/>
      <c r="N14" s="4"/>
    </row>
    <row r="15" customFormat="false" ht="15" hidden="false" customHeight="false" outlineLevel="0" collapsed="false">
      <c r="A15" s="4" t="s">
        <v>2442</v>
      </c>
      <c r="B15" s="4" t="s">
        <v>1805</v>
      </c>
      <c r="C15" s="4" t="s">
        <v>2422</v>
      </c>
      <c r="D15" s="4" t="s">
        <v>2432</v>
      </c>
      <c r="E15" s="4" t="s">
        <v>1120</v>
      </c>
      <c r="F15" s="4"/>
      <c r="G15" s="4" t="n">
        <v>0</v>
      </c>
      <c r="H15" s="4"/>
      <c r="I15" s="4" t="n">
        <v>0</v>
      </c>
      <c r="J15" s="4"/>
      <c r="K15" s="4"/>
      <c r="L15" s="4"/>
      <c r="M15" s="4"/>
      <c r="N15" s="4"/>
    </row>
    <row r="16" customFormat="false" ht="15" hidden="false" customHeight="false" outlineLevel="0" collapsed="false">
      <c r="A16" s="4" t="s">
        <v>2443</v>
      </c>
      <c r="B16" s="4" t="s">
        <v>1797</v>
      </c>
      <c r="C16" s="4" t="s">
        <v>2422</v>
      </c>
      <c r="D16" s="4" t="s">
        <v>2432</v>
      </c>
      <c r="E16" s="4" t="s">
        <v>370</v>
      </c>
      <c r="F16" s="4"/>
      <c r="G16" s="4" t="n">
        <v>0</v>
      </c>
      <c r="H16" s="4"/>
      <c r="I16" s="4" t="n">
        <v>0</v>
      </c>
      <c r="J16" s="4"/>
      <c r="K16" s="4"/>
      <c r="L16" s="4"/>
      <c r="M16" s="4"/>
      <c r="N16" s="4"/>
    </row>
    <row r="17" customFormat="false" ht="15" hidden="false" customHeight="false" outlineLevel="0" collapsed="false">
      <c r="A17" s="4" t="s">
        <v>2444</v>
      </c>
      <c r="B17" s="4" t="s">
        <v>71</v>
      </c>
      <c r="C17" s="4" t="s">
        <v>2422</v>
      </c>
      <c r="D17" s="4" t="s">
        <v>2427</v>
      </c>
      <c r="E17" s="4" t="s">
        <v>644</v>
      </c>
      <c r="F17" s="4" t="s">
        <v>71</v>
      </c>
      <c r="G17" s="4" t="n">
        <v>2.75</v>
      </c>
      <c r="H17" s="4"/>
      <c r="I17" s="4" t="n">
        <v>0</v>
      </c>
      <c r="J17" s="4" t="n">
        <v>14.5</v>
      </c>
      <c r="K17" s="4" t="n">
        <v>19</v>
      </c>
      <c r="L17" s="4" t="n">
        <v>23.5</v>
      </c>
      <c r="M17" s="4" t="n">
        <v>28</v>
      </c>
      <c r="N17" s="4" t="n">
        <v>32.5</v>
      </c>
      <c r="O17" s="9" t="n">
        <f aca="false">MAX(1,MIN(5,1+INT(IFERROR(INDEX(Calculator!$E$6:$E$23,MATCH("BLD",Calculator!$A$6:$A$23,0)),0)/20)))</f>
        <v>1</v>
      </c>
      <c r="P17" s="24" t="n">
        <f aca="false">INDEX(J17:N17,O17)*(1+(IFERROR(G17/10*INDEX(Calculator!$E$6:$E$23,MATCH(F17,Calculator!$A$6:$A$23,0))/100,0)+IFERROR(I17/10*INDEX(Calculator!$E$6:$E$23,MATCH(H17,Calculator!$A$6:$A$23,0))/100,0))*(1+Constants!$B$25*Calculator!$C$28))*(1+Calculator!$C$45)*(1-(1-MIN(0.5,Constants!$B$26*Calculator!$C$28))*Constants!$B$6)</f>
        <v>13.495875</v>
      </c>
    </row>
    <row r="18" customFormat="false" ht="15" hidden="false" customHeight="false" outlineLevel="0" collapsed="false">
      <c r="A18" s="4" t="s">
        <v>2445</v>
      </c>
      <c r="B18" s="4" t="s">
        <v>71</v>
      </c>
      <c r="C18" s="4" t="s">
        <v>2422</v>
      </c>
      <c r="D18" s="4" t="s">
        <v>2427</v>
      </c>
      <c r="E18" s="4" t="s">
        <v>385</v>
      </c>
      <c r="F18" s="4" t="s">
        <v>71</v>
      </c>
      <c r="G18" s="4" t="n">
        <v>2.75</v>
      </c>
      <c r="H18" s="4"/>
      <c r="I18" s="4" t="n">
        <v>0</v>
      </c>
      <c r="J18" s="4" t="n">
        <v>25</v>
      </c>
      <c r="K18" s="4" t="n">
        <v>36</v>
      </c>
      <c r="L18" s="4" t="n">
        <v>49</v>
      </c>
      <c r="M18" s="4" t="n">
        <v>64</v>
      </c>
      <c r="N18" s="4" t="n">
        <v>81</v>
      </c>
      <c r="O18" s="9" t="n">
        <f aca="false">MAX(1,MIN(5,1+INT(IFERROR(INDEX(Calculator!$E$6:$E$23,MATCH("BLD",Calculator!$A$6:$A$23,0)),0)/20)))</f>
        <v>1</v>
      </c>
      <c r="P18" s="24" t="n">
        <f aca="false">INDEX(J18:N18,O18)*(1+(IFERROR(G18/10*INDEX(Calculator!$E$6:$E$23,MATCH(F18,Calculator!$A$6:$A$23,0))/100,0)+IFERROR(I18/10*INDEX(Calculator!$E$6:$E$23,MATCH(H18,Calculator!$A$6:$A$23,0))/100,0))*(1+Constants!$B$25*Calculator!$C$28))*(1+Calculator!$C$45)*(1-(1-MIN(0.5,Constants!$B$26*Calculator!$C$28))*Constants!$B$6)</f>
        <v>23.26875</v>
      </c>
    </row>
    <row r="19" customFormat="false" ht="15" hidden="false" customHeight="false" outlineLevel="0" collapsed="false">
      <c r="A19" s="4" t="s">
        <v>2446</v>
      </c>
      <c r="B19" s="4" t="s">
        <v>71</v>
      </c>
      <c r="C19" s="4" t="s">
        <v>2447</v>
      </c>
      <c r="D19" s="4" t="s">
        <v>2427</v>
      </c>
      <c r="E19" s="4" t="s">
        <v>648</v>
      </c>
      <c r="F19" s="4"/>
      <c r="G19" s="4" t="n">
        <v>0</v>
      </c>
      <c r="H19" s="4"/>
      <c r="I19" s="4" t="n">
        <v>0</v>
      </c>
      <c r="J19" s="4"/>
      <c r="K19" s="4"/>
      <c r="L19" s="4"/>
      <c r="M19" s="4"/>
      <c r="N19" s="4"/>
    </row>
    <row r="20" customFormat="false" ht="15" hidden="false" customHeight="false" outlineLevel="0" collapsed="false">
      <c r="A20" s="4" t="s">
        <v>2448</v>
      </c>
      <c r="B20" s="4" t="s">
        <v>71</v>
      </c>
      <c r="C20" s="4" t="s">
        <v>2422</v>
      </c>
      <c r="D20" s="4" t="s">
        <v>2427</v>
      </c>
      <c r="E20" s="4" t="s">
        <v>1674</v>
      </c>
      <c r="F20" s="4" t="s">
        <v>71</v>
      </c>
      <c r="G20" s="4" t="n">
        <v>2.75</v>
      </c>
      <c r="H20" s="4"/>
      <c r="I20" s="4" t="n">
        <v>0</v>
      </c>
      <c r="J20" s="4" t="n">
        <v>17.4</v>
      </c>
      <c r="K20" s="4" t="n">
        <v>23.8</v>
      </c>
      <c r="L20" s="4" t="n">
        <v>31.2</v>
      </c>
      <c r="M20" s="4" t="n">
        <v>39.6</v>
      </c>
      <c r="N20" s="4" t="n">
        <v>49</v>
      </c>
      <c r="O20" s="9" t="n">
        <f aca="false">MAX(1,MIN(5,1+INT(IFERROR(INDEX(Calculator!$E$6:$E$23,MATCH("BLD",Calculator!$A$6:$A$23,0)),0)/20)))</f>
        <v>1</v>
      </c>
      <c r="P20" s="24" t="n">
        <f aca="false">INDEX(J20:N20,O20)*(1+(IFERROR(G20/10*INDEX(Calculator!$E$6:$E$23,MATCH(F20,Calculator!$A$6:$A$23,0))/100,0)+IFERROR(I20/10*INDEX(Calculator!$E$6:$E$23,MATCH(H20,Calculator!$A$6:$A$23,0))/100,0))*(1+Constants!$B$25*Calculator!$C$28))*(1+Calculator!$C$45)*(1-(1-MIN(0.5,Constants!$B$26*Calculator!$C$28))*Constants!$B$6)</f>
        <v>16.19505</v>
      </c>
    </row>
    <row r="21" customFormat="false" ht="15" hidden="false" customHeight="false" outlineLevel="0" collapsed="false">
      <c r="A21" s="4" t="s">
        <v>2449</v>
      </c>
      <c r="B21" s="4" t="s">
        <v>71</v>
      </c>
      <c r="C21" s="4" t="s">
        <v>2422</v>
      </c>
      <c r="D21" s="4" t="s">
        <v>2427</v>
      </c>
      <c r="E21" s="4" t="s">
        <v>385</v>
      </c>
      <c r="F21" s="4" t="s">
        <v>71</v>
      </c>
      <c r="G21" s="4" t="n">
        <v>2.75</v>
      </c>
      <c r="H21" s="4"/>
      <c r="I21" s="4" t="n">
        <v>0</v>
      </c>
      <c r="J21" s="4" t="n">
        <v>16</v>
      </c>
      <c r="K21" s="4" t="n">
        <v>20</v>
      </c>
      <c r="L21" s="4" t="n">
        <v>24</v>
      </c>
      <c r="M21" s="4" t="n">
        <v>28</v>
      </c>
      <c r="N21" s="4" t="n">
        <v>32</v>
      </c>
      <c r="O21" s="9" t="n">
        <f aca="false">MAX(1,MIN(5,1+INT(IFERROR(INDEX(Calculator!$E$6:$E$23,MATCH("BLD",Calculator!$A$6:$A$23,0)),0)/20)))</f>
        <v>1</v>
      </c>
      <c r="P21" s="24" t="n">
        <f aca="false">INDEX(J21:N21,O21)*(1+(IFERROR(G21/10*INDEX(Calculator!$E$6:$E$23,MATCH(F21,Calculator!$A$6:$A$23,0))/100,0)+IFERROR(I21/10*INDEX(Calculator!$E$6:$E$23,MATCH(H21,Calculator!$A$6:$A$23,0))/100,0))*(1+Constants!$B$25*Calculator!$C$28))*(1+Calculator!$C$45)*(1-(1-MIN(0.5,Constants!$B$26*Calculator!$C$28))*Constants!$B$6)</f>
        <v>14.892</v>
      </c>
    </row>
    <row r="22" customFormat="false" ht="15" hidden="false" customHeight="false" outlineLevel="0" collapsed="false">
      <c r="A22" s="4" t="s">
        <v>2450</v>
      </c>
      <c r="B22" s="4" t="s">
        <v>71</v>
      </c>
      <c r="C22" s="4" t="s">
        <v>2422</v>
      </c>
      <c r="D22" s="4" t="s">
        <v>2427</v>
      </c>
      <c r="E22" s="4" t="s">
        <v>1674</v>
      </c>
      <c r="F22" s="4" t="s">
        <v>71</v>
      </c>
      <c r="G22" s="4" t="n">
        <v>2.75</v>
      </c>
      <c r="H22" s="4"/>
      <c r="I22" s="4" t="n">
        <v>0</v>
      </c>
      <c r="J22" s="4" t="n">
        <v>42</v>
      </c>
      <c r="K22" s="4" t="n">
        <v>47</v>
      </c>
      <c r="L22" s="4" t="n">
        <v>52</v>
      </c>
      <c r="M22" s="4" t="n">
        <v>57</v>
      </c>
      <c r="N22" s="4" t="n">
        <v>62</v>
      </c>
      <c r="O22" s="9" t="n">
        <f aca="false">MAX(1,MIN(5,1+INT(IFERROR(INDEX(Calculator!$E$6:$E$23,MATCH("BLD",Calculator!$A$6:$A$23,0)),0)/20)))</f>
        <v>1</v>
      </c>
      <c r="P22" s="24" t="n">
        <f aca="false">INDEX(J22:N22,O22)*(1+(IFERROR(G22/10*INDEX(Calculator!$E$6:$E$23,MATCH(F22,Calculator!$A$6:$A$23,0))/100,0)+IFERROR(I22/10*INDEX(Calculator!$E$6:$E$23,MATCH(H22,Calculator!$A$6:$A$23,0))/100,0))*(1+Constants!$B$25*Calculator!$C$28))*(1+Calculator!$C$45)*(1-(1-MIN(0.5,Constants!$B$26*Calculator!$C$28))*Constants!$B$6)</f>
        <v>39.0915</v>
      </c>
    </row>
    <row r="23" customFormat="false" ht="15" hidden="false" customHeight="false" outlineLevel="0" collapsed="false">
      <c r="A23" s="4" t="s">
        <v>2451</v>
      </c>
      <c r="B23" s="4" t="s">
        <v>63</v>
      </c>
      <c r="C23" s="4" t="s">
        <v>2422</v>
      </c>
      <c r="D23" s="4" t="s">
        <v>2427</v>
      </c>
      <c r="E23" s="4" t="s">
        <v>1172</v>
      </c>
      <c r="F23" s="4" t="s">
        <v>63</v>
      </c>
      <c r="G23" s="4" t="n">
        <v>2.75</v>
      </c>
      <c r="H23" s="4"/>
      <c r="I23" s="4" t="n">
        <v>0</v>
      </c>
      <c r="J23" s="4" t="n">
        <v>15</v>
      </c>
      <c r="K23" s="4" t="n">
        <v>16</v>
      </c>
      <c r="L23" s="4" t="n">
        <v>17</v>
      </c>
      <c r="M23" s="4" t="n">
        <v>18</v>
      </c>
      <c r="N23" s="4" t="n">
        <v>19</v>
      </c>
      <c r="O23" s="9" t="n">
        <f aca="false">MAX(1,MIN(5,1+INT(IFERROR(INDEX(Calculator!$E$6:$E$23,MATCH("LTN",Calculator!$A$6:$A$23,0)),0)/20)))</f>
        <v>2</v>
      </c>
      <c r="P23" s="24" t="n">
        <f aca="false">INDEX(J23:N23,O23)*(1+(IFERROR(G23/10*INDEX(Calculator!$E$6:$E$23,MATCH(F23,Calculator!$A$6:$A$23,0))/100,0)+IFERROR(I23/10*INDEX(Calculator!$E$6:$E$23,MATCH(H23,Calculator!$A$6:$A$23,0))/100,0))*(1+Constants!$B$25*Calculator!$C$28))*(1+Calculator!$C$45)*(1-(1-MIN(0.5,Constants!$B$26*Calculator!$C$28))*Constants!$B$6)</f>
        <v>16.02721716</v>
      </c>
    </row>
    <row r="24" customFormat="false" ht="15" hidden="false" customHeight="false" outlineLevel="0" collapsed="false">
      <c r="A24" s="4" t="s">
        <v>2452</v>
      </c>
      <c r="B24" s="4" t="s">
        <v>2421</v>
      </c>
      <c r="C24" s="4" t="s">
        <v>2447</v>
      </c>
      <c r="D24" s="4" t="s">
        <v>2423</v>
      </c>
      <c r="E24" s="4" t="s">
        <v>585</v>
      </c>
      <c r="F24" s="4"/>
      <c r="G24" s="4" t="n">
        <v>0</v>
      </c>
      <c r="H24" s="4"/>
      <c r="I24" s="4" t="n">
        <v>0</v>
      </c>
      <c r="J24" s="4"/>
      <c r="K24" s="4"/>
      <c r="L24" s="4"/>
      <c r="M24" s="4"/>
      <c r="N24" s="4"/>
    </row>
    <row r="25" customFormat="false" ht="15" hidden="false" customHeight="false" outlineLevel="0" collapsed="false">
      <c r="A25" s="4" t="s">
        <v>2453</v>
      </c>
      <c r="B25" s="4" t="s">
        <v>43</v>
      </c>
      <c r="C25" s="4" t="s">
        <v>2426</v>
      </c>
      <c r="D25" s="4" t="s">
        <v>2427</v>
      </c>
      <c r="E25" s="4" t="s">
        <v>1280</v>
      </c>
      <c r="F25" s="4"/>
      <c r="G25" s="4" t="n">
        <v>0</v>
      </c>
      <c r="H25" s="4"/>
      <c r="I25" s="4" t="n">
        <v>0</v>
      </c>
      <c r="J25" s="4"/>
      <c r="K25" s="4"/>
      <c r="L25" s="4"/>
      <c r="M25" s="4"/>
      <c r="N25" s="4"/>
    </row>
    <row r="26" customFormat="false" ht="15" hidden="false" customHeight="false" outlineLevel="0" collapsed="false">
      <c r="A26" s="4" t="s">
        <v>2454</v>
      </c>
      <c r="B26" s="4" t="s">
        <v>2421</v>
      </c>
      <c r="C26" s="4" t="s">
        <v>2422</v>
      </c>
      <c r="D26" s="4" t="s">
        <v>2423</v>
      </c>
      <c r="E26" s="4" t="s">
        <v>585</v>
      </c>
      <c r="F26" s="4"/>
      <c r="G26" s="4" t="n">
        <v>0</v>
      </c>
      <c r="H26" s="4"/>
      <c r="I26" s="4" t="n">
        <v>0</v>
      </c>
      <c r="J26" s="4"/>
      <c r="K26" s="4"/>
      <c r="L26" s="4"/>
      <c r="M26" s="4"/>
      <c r="N26" s="4"/>
    </row>
    <row r="27" customFormat="false" ht="15" hidden="false" customHeight="false" outlineLevel="0" collapsed="false">
      <c r="A27" s="4" t="s">
        <v>2455</v>
      </c>
      <c r="B27" s="4" t="s">
        <v>59</v>
      </c>
      <c r="C27" s="4" t="s">
        <v>2422</v>
      </c>
      <c r="D27" s="4" t="s">
        <v>2427</v>
      </c>
      <c r="E27" s="4" t="s">
        <v>1244</v>
      </c>
      <c r="F27" s="4" t="s">
        <v>59</v>
      </c>
      <c r="G27" s="4" t="n">
        <v>2.75</v>
      </c>
      <c r="H27" s="4"/>
      <c r="I27" s="4" t="n">
        <v>0</v>
      </c>
      <c r="J27" s="4" t="n">
        <v>44</v>
      </c>
      <c r="K27" s="4" t="n">
        <v>48.4</v>
      </c>
      <c r="L27" s="4" t="n">
        <v>52.8</v>
      </c>
      <c r="M27" s="4" t="n">
        <v>57.2</v>
      </c>
      <c r="N27" s="4" t="n">
        <v>61.6</v>
      </c>
      <c r="O27" s="9" t="n">
        <f aca="false">MAX(1,MIN(5,1+INT(IFERROR(INDEX(Calculator!$E$6:$E$23,MATCH("FLM",Calculator!$A$6:$A$23,0)),0)/20)))</f>
        <v>1</v>
      </c>
      <c r="P27" s="24" t="n">
        <f aca="false">INDEX(J27:N27,O27)*(1+(IFERROR(G27/10*INDEX(Calculator!$E$6:$E$23,MATCH(F27,Calculator!$A$6:$A$23,0))/100,0)+IFERROR(I27/10*INDEX(Calculator!$E$6:$E$23,MATCH(H27,Calculator!$A$6:$A$23,0))/100,0))*(1+Constants!$B$25*Calculator!$C$28))*(1+Calculator!$C$45)*(1-(1-MIN(0.5,Constants!$B$26*Calculator!$C$28))*Constants!$B$6)</f>
        <v>40.953</v>
      </c>
    </row>
    <row r="28" customFormat="false" ht="15" hidden="false" customHeight="false" outlineLevel="0" collapsed="false">
      <c r="A28" s="4" t="s">
        <v>2456</v>
      </c>
      <c r="B28" s="4" t="s">
        <v>69</v>
      </c>
      <c r="C28" s="4" t="s">
        <v>2422</v>
      </c>
      <c r="D28" s="4" t="s">
        <v>2427</v>
      </c>
      <c r="E28" s="4" t="s">
        <v>1164</v>
      </c>
      <c r="F28" s="4" t="s">
        <v>69</v>
      </c>
      <c r="G28" s="4" t="n">
        <v>2.75</v>
      </c>
      <c r="H28" s="4"/>
      <c r="I28" s="4" t="n">
        <v>0</v>
      </c>
      <c r="J28" s="4" t="n">
        <v>32</v>
      </c>
      <c r="K28" s="4" t="n">
        <v>29.9</v>
      </c>
      <c r="L28" s="4" t="n">
        <v>33.8</v>
      </c>
      <c r="M28" s="4" t="n">
        <v>37.7</v>
      </c>
      <c r="N28" s="4" t="n">
        <v>41.6</v>
      </c>
      <c r="O28" s="9" t="n">
        <f aca="false">MAX(1,MIN(5,1+INT(IFERROR(INDEX(Calculator!$E$6:$E$23,MATCH("IRN",Calculator!$A$6:$A$23,0)),0)/20)))</f>
        <v>5</v>
      </c>
      <c r="P28" s="24" t="n">
        <f aca="false">INDEX(J28:N28,O28)*(1+(IFERROR(G28/10*INDEX(Calculator!$E$6:$E$23,MATCH(F28,Calculator!$A$6:$A$23,0))/100,0)+IFERROR(I28/10*INDEX(Calculator!$E$6:$E$23,MATCH(H28,Calculator!$A$6:$A$23,0))/100,0))*(1+Constants!$B$25*Calculator!$C$28))*(1+Calculator!$C$45)*(1-(1-MIN(0.5,Constants!$B$26*Calculator!$C$28))*Constants!$B$6)</f>
        <v>50.79378252</v>
      </c>
    </row>
    <row r="29" customFormat="false" ht="15" hidden="false" customHeight="false" outlineLevel="0" collapsed="false">
      <c r="A29" s="4" t="s">
        <v>2457</v>
      </c>
      <c r="B29" s="4" t="s">
        <v>57</v>
      </c>
      <c r="C29" s="4" t="s">
        <v>2422</v>
      </c>
      <c r="D29" s="4" t="s">
        <v>2427</v>
      </c>
      <c r="E29" s="4" t="s">
        <v>989</v>
      </c>
      <c r="F29" s="4"/>
      <c r="G29" s="4" t="n">
        <v>0</v>
      </c>
      <c r="H29" s="4"/>
      <c r="I29" s="4" t="n">
        <v>0</v>
      </c>
      <c r="J29" s="4"/>
      <c r="K29" s="4"/>
      <c r="L29" s="4"/>
      <c r="M29" s="4"/>
      <c r="N29" s="4"/>
    </row>
    <row r="30" customFormat="false" ht="15" hidden="false" customHeight="false" outlineLevel="0" collapsed="false">
      <c r="A30" s="4" t="s">
        <v>2458</v>
      </c>
      <c r="B30" s="4" t="s">
        <v>1813</v>
      </c>
      <c r="C30" s="4" t="s">
        <v>2422</v>
      </c>
      <c r="D30" s="4" t="s">
        <v>2432</v>
      </c>
      <c r="E30" s="4" t="s">
        <v>971</v>
      </c>
      <c r="F30" s="4"/>
      <c r="G30" s="4" t="n">
        <v>0</v>
      </c>
      <c r="H30" s="4"/>
      <c r="I30" s="4" t="n">
        <v>0</v>
      </c>
      <c r="J30" s="4"/>
      <c r="K30" s="4"/>
      <c r="L30" s="4"/>
      <c r="M30" s="4"/>
      <c r="N30" s="4"/>
    </row>
    <row r="31" customFormat="false" ht="15" hidden="false" customHeight="false" outlineLevel="0" collapsed="false">
      <c r="A31" s="4" t="s">
        <v>2459</v>
      </c>
      <c r="B31" s="4" t="s">
        <v>69</v>
      </c>
      <c r="C31" s="4" t="s">
        <v>2426</v>
      </c>
      <c r="D31" s="4" t="s">
        <v>2427</v>
      </c>
      <c r="E31" s="4" t="s">
        <v>405</v>
      </c>
      <c r="F31" s="4" t="s">
        <v>69</v>
      </c>
      <c r="G31" s="4" t="n">
        <v>2.75</v>
      </c>
      <c r="H31" s="4"/>
      <c r="I31" s="4" t="n">
        <v>0</v>
      </c>
      <c r="J31" s="4" t="n">
        <v>20</v>
      </c>
      <c r="K31" s="4" t="n">
        <v>22</v>
      </c>
      <c r="L31" s="4" t="n">
        <v>24</v>
      </c>
      <c r="M31" s="4" t="n">
        <v>26</v>
      </c>
      <c r="N31" s="4" t="n">
        <v>28</v>
      </c>
      <c r="O31" s="9" t="n">
        <f aca="false">MAX(1,MIN(5,1+INT(IFERROR(INDEX(Calculator!$E$6:$E$23,MATCH("IRN",Calculator!$A$6:$A$23,0)),0)/20)))</f>
        <v>5</v>
      </c>
      <c r="P31" s="24" t="n">
        <f aca="false">INDEX(J31:N31,O31)*(1+(IFERROR(G31/10*INDEX(Calculator!$E$6:$E$23,MATCH(F31,Calculator!$A$6:$A$23,0))/100,0)+IFERROR(I31/10*INDEX(Calculator!$E$6:$E$23,MATCH(H31,Calculator!$A$6:$A$23,0))/100,0))*(1+Constants!$B$25*Calculator!$C$28))*(1+Calculator!$C$45)*(1-(1-MIN(0.5,Constants!$B$26*Calculator!$C$28))*Constants!$B$6)</f>
        <v>34.18812285</v>
      </c>
    </row>
    <row r="32" customFormat="false" ht="15" hidden="false" customHeight="false" outlineLevel="0" collapsed="false">
      <c r="A32" s="4" t="s">
        <v>2460</v>
      </c>
      <c r="B32" s="4" t="s">
        <v>65</v>
      </c>
      <c r="C32" s="4" t="s">
        <v>2422</v>
      </c>
      <c r="D32" s="4" t="s">
        <v>2427</v>
      </c>
      <c r="E32" s="4" t="s">
        <v>696</v>
      </c>
      <c r="F32" s="4" t="s">
        <v>65</v>
      </c>
      <c r="G32" s="4" t="n">
        <v>2.75</v>
      </c>
      <c r="H32" s="4"/>
      <c r="I32" s="4" t="n">
        <v>0</v>
      </c>
      <c r="J32" s="4" t="n">
        <v>41</v>
      </c>
      <c r="K32" s="4" t="n">
        <v>46</v>
      </c>
      <c r="L32" s="4" t="n">
        <v>51</v>
      </c>
      <c r="M32" s="4" t="n">
        <v>56</v>
      </c>
      <c r="N32" s="4" t="n">
        <v>61</v>
      </c>
      <c r="O32" s="9" t="n">
        <f aca="false">MAX(1,MIN(5,1+INT(IFERROR(INDEX(Calculator!$E$6:$E$23,MATCH("WND",Calculator!$A$6:$A$23,0)),0)/20)))</f>
        <v>1</v>
      </c>
      <c r="P32" s="24" t="n">
        <f aca="false">INDEX(J32:N32,O32)*(1+(IFERROR(G32/10*INDEX(Calculator!$E$6:$E$23,MATCH(F32,Calculator!$A$6:$A$23,0))/100,0)+IFERROR(I32/10*INDEX(Calculator!$E$6:$E$23,MATCH(H32,Calculator!$A$6:$A$23,0))/100,0))*(1+Constants!$B$25*Calculator!$C$28))*(1+Calculator!$C$45)*(1-(1-MIN(0.5,Constants!$B$26*Calculator!$C$28))*Constants!$B$6)</f>
        <v>38.16075</v>
      </c>
    </row>
    <row r="33" customFormat="false" ht="15" hidden="false" customHeight="false" outlineLevel="0" collapsed="false">
      <c r="A33" s="4" t="s">
        <v>2461</v>
      </c>
      <c r="B33" s="4" t="s">
        <v>1799</v>
      </c>
      <c r="C33" s="4" t="s">
        <v>2422</v>
      </c>
      <c r="D33" s="4" t="s">
        <v>2432</v>
      </c>
      <c r="E33" s="4" t="s">
        <v>562</v>
      </c>
      <c r="F33" s="4"/>
      <c r="G33" s="4" t="n">
        <v>0</v>
      </c>
      <c r="H33" s="4"/>
      <c r="I33" s="4" t="n">
        <v>0</v>
      </c>
      <c r="J33" s="4"/>
      <c r="K33" s="4"/>
      <c r="L33" s="4"/>
      <c r="M33" s="4"/>
      <c r="N33" s="4"/>
    </row>
    <row r="34" customFormat="false" ht="15" hidden="false" customHeight="false" outlineLevel="0" collapsed="false">
      <c r="A34" s="4" t="s">
        <v>2462</v>
      </c>
      <c r="B34" s="4" t="s">
        <v>67</v>
      </c>
      <c r="C34" s="4" t="s">
        <v>2422</v>
      </c>
      <c r="D34" s="4" t="s">
        <v>2427</v>
      </c>
      <c r="E34" s="4" t="s">
        <v>2070</v>
      </c>
      <c r="F34" s="4" t="s">
        <v>67</v>
      </c>
      <c r="G34" s="4" t="n">
        <v>2.75</v>
      </c>
      <c r="H34" s="4"/>
      <c r="I34" s="4" t="n">
        <v>0</v>
      </c>
      <c r="J34" s="4" t="n">
        <v>24</v>
      </c>
      <c r="K34" s="4" t="n">
        <v>28.2</v>
      </c>
      <c r="L34" s="4" t="n">
        <v>32.4</v>
      </c>
      <c r="M34" s="4" t="n">
        <v>36.6</v>
      </c>
      <c r="N34" s="4" t="n">
        <v>40.8</v>
      </c>
      <c r="O34" s="9" t="n">
        <f aca="false">MAX(1,MIN(5,1+INT(IFERROR(INDEX(Calculator!$E$6:$E$23,MATCH("SDW",Calculator!$A$6:$A$23,0)),0)/20)))</f>
        <v>1</v>
      </c>
      <c r="P34" s="24" t="n">
        <f aca="false">INDEX(J34:N34,O34)*(1+(IFERROR(G34/10*INDEX(Calculator!$E$6:$E$23,MATCH(F34,Calculator!$A$6:$A$23,0))/100,0)+IFERROR(I34/10*INDEX(Calculator!$E$6:$E$23,MATCH(H34,Calculator!$A$6:$A$23,0))/100,0))*(1+Constants!$B$25*Calculator!$C$28))*(1+Calculator!$C$45)*(1-(1-MIN(0.5,Constants!$B$26*Calculator!$C$28))*Constants!$B$6)</f>
        <v>22.338</v>
      </c>
    </row>
    <row r="35" customFormat="false" ht="15" hidden="false" customHeight="false" outlineLevel="0" collapsed="false">
      <c r="A35" s="4" t="s">
        <v>2463</v>
      </c>
      <c r="B35" s="4" t="s">
        <v>2421</v>
      </c>
      <c r="C35" s="4" t="s">
        <v>2422</v>
      </c>
      <c r="D35" s="4" t="s">
        <v>2423</v>
      </c>
      <c r="E35" s="4" t="s">
        <v>585</v>
      </c>
      <c r="F35" s="4"/>
      <c r="G35" s="4" t="n">
        <v>0</v>
      </c>
      <c r="H35" s="4"/>
      <c r="I35" s="4" t="n">
        <v>0</v>
      </c>
      <c r="J35" s="4"/>
      <c r="K35" s="4"/>
      <c r="L35" s="4"/>
      <c r="M35" s="4"/>
      <c r="N35" s="4"/>
    </row>
    <row r="36" customFormat="false" ht="15" hidden="false" customHeight="false" outlineLevel="0" collapsed="false">
      <c r="A36" s="4" t="s">
        <v>2464</v>
      </c>
      <c r="B36" s="4" t="s">
        <v>71</v>
      </c>
      <c r="C36" s="4" t="s">
        <v>2422</v>
      </c>
      <c r="D36" s="4" t="s">
        <v>2427</v>
      </c>
      <c r="E36" s="4" t="s">
        <v>648</v>
      </c>
      <c r="F36" s="4" t="s">
        <v>71</v>
      </c>
      <c r="G36" s="4" t="n">
        <v>2.75</v>
      </c>
      <c r="H36" s="4"/>
      <c r="I36" s="4" t="n">
        <v>0</v>
      </c>
      <c r="J36" s="4" t="n">
        <v>14.25</v>
      </c>
      <c r="K36" s="4" t="n">
        <v>16.5</v>
      </c>
      <c r="L36" s="4" t="n">
        <v>18.75</v>
      </c>
      <c r="M36" s="4" t="n">
        <v>21</v>
      </c>
      <c r="N36" s="4" t="n">
        <v>46.5</v>
      </c>
      <c r="O36" s="9" t="n">
        <f aca="false">MAX(1,MIN(5,1+INT(IFERROR(INDEX(Calculator!$E$6:$E$23,MATCH("BLD",Calculator!$A$6:$A$23,0)),0)/20)))</f>
        <v>1</v>
      </c>
      <c r="P36" s="24" t="n">
        <f aca="false">INDEX(J36:N36,O36)*(1+(IFERROR(G36/10*INDEX(Calculator!$E$6:$E$23,MATCH(F36,Calculator!$A$6:$A$23,0))/100,0)+IFERROR(I36/10*INDEX(Calculator!$E$6:$E$23,MATCH(H36,Calculator!$A$6:$A$23,0))/100,0))*(1+Constants!$B$25*Calculator!$C$28))*(1+Calculator!$C$45)*(1-(1-MIN(0.5,Constants!$B$26*Calculator!$C$28))*Constants!$B$6)</f>
        <v>13.2631875</v>
      </c>
    </row>
    <row r="37" customFormat="false" ht="15" hidden="false" customHeight="false" outlineLevel="0" collapsed="false">
      <c r="A37" s="4" t="s">
        <v>2465</v>
      </c>
      <c r="B37" s="4" t="s">
        <v>71</v>
      </c>
      <c r="C37" s="4" t="s">
        <v>2422</v>
      </c>
      <c r="D37" s="4" t="s">
        <v>2427</v>
      </c>
      <c r="E37" s="4" t="s">
        <v>648</v>
      </c>
      <c r="F37" s="4" t="s">
        <v>71</v>
      </c>
      <c r="G37" s="4" t="n">
        <v>2.75</v>
      </c>
      <c r="H37" s="4"/>
      <c r="I37" s="4" t="n">
        <v>0</v>
      </c>
      <c r="J37" s="4" t="n">
        <v>24</v>
      </c>
      <c r="K37" s="4" t="n">
        <v>30</v>
      </c>
      <c r="L37" s="4" t="n">
        <v>36</v>
      </c>
      <c r="M37" s="4" t="n">
        <v>42</v>
      </c>
      <c r="N37" s="4" t="n">
        <v>48</v>
      </c>
      <c r="O37" s="9" t="n">
        <f aca="false">MAX(1,MIN(5,1+INT(IFERROR(INDEX(Calculator!$E$6:$E$23,MATCH("BLD",Calculator!$A$6:$A$23,0)),0)/20)))</f>
        <v>1</v>
      </c>
      <c r="P37" s="24" t="n">
        <f aca="false">INDEX(J37:N37,O37)*(1+(IFERROR(G37/10*INDEX(Calculator!$E$6:$E$23,MATCH(F37,Calculator!$A$6:$A$23,0))/100,0)+IFERROR(I37/10*INDEX(Calculator!$E$6:$E$23,MATCH(H37,Calculator!$A$6:$A$23,0))/100,0))*(1+Constants!$B$25*Calculator!$C$28))*(1+Calculator!$C$45)*(1-(1-MIN(0.5,Constants!$B$26*Calculator!$C$28))*Constants!$B$6)</f>
        <v>22.338</v>
      </c>
    </row>
    <row r="38" customFormat="false" ht="15" hidden="false" customHeight="false" outlineLevel="0" collapsed="false">
      <c r="A38" s="4" t="s">
        <v>2466</v>
      </c>
      <c r="B38" s="4" t="s">
        <v>71</v>
      </c>
      <c r="C38" s="4" t="s">
        <v>2422</v>
      </c>
      <c r="D38" s="4" t="s">
        <v>2427</v>
      </c>
      <c r="E38" s="4" t="s">
        <v>644</v>
      </c>
      <c r="F38" s="4" t="s">
        <v>71</v>
      </c>
      <c r="G38" s="4" t="n">
        <v>2.75</v>
      </c>
      <c r="H38" s="4"/>
      <c r="I38" s="4" t="n">
        <v>0</v>
      </c>
      <c r="J38" s="4" t="n">
        <v>16</v>
      </c>
      <c r="K38" s="4" t="n">
        <v>22</v>
      </c>
      <c r="L38" s="4" t="n">
        <v>28</v>
      </c>
      <c r="M38" s="4" t="n">
        <v>34</v>
      </c>
      <c r="N38" s="4" t="n">
        <v>40</v>
      </c>
      <c r="O38" s="9" t="n">
        <f aca="false">MAX(1,MIN(5,1+INT(IFERROR(INDEX(Calculator!$E$6:$E$23,MATCH("BLD",Calculator!$A$6:$A$23,0)),0)/20)))</f>
        <v>1</v>
      </c>
      <c r="P38" s="24" t="n">
        <f aca="false">INDEX(J38:N38,O38)*(1+(IFERROR(G38/10*INDEX(Calculator!$E$6:$E$23,MATCH(F38,Calculator!$A$6:$A$23,0))/100,0)+IFERROR(I38/10*INDEX(Calculator!$E$6:$E$23,MATCH(H38,Calculator!$A$6:$A$23,0))/100,0))*(1+Constants!$B$25*Calculator!$C$28))*(1+Calculator!$C$45)*(1-(1-MIN(0.5,Constants!$B$26*Calculator!$C$28))*Constants!$B$6)</f>
        <v>14.892</v>
      </c>
    </row>
    <row r="39" customFormat="false" ht="15" hidden="false" customHeight="false" outlineLevel="0" collapsed="false">
      <c r="A39" s="4" t="s">
        <v>2467</v>
      </c>
      <c r="B39" s="4" t="s">
        <v>61</v>
      </c>
      <c r="C39" s="4" t="s">
        <v>2422</v>
      </c>
      <c r="D39" s="4" t="s">
        <v>2427</v>
      </c>
      <c r="E39" s="4" t="s">
        <v>2468</v>
      </c>
      <c r="F39" s="4" t="s">
        <v>61</v>
      </c>
      <c r="G39" s="4" t="n">
        <v>2.75</v>
      </c>
      <c r="H39" s="4"/>
      <c r="I39" s="4" t="n">
        <v>0</v>
      </c>
      <c r="J39" s="4" t="n">
        <v>23.3</v>
      </c>
      <c r="K39" s="4" t="n">
        <v>28.3</v>
      </c>
      <c r="L39" s="4" t="n">
        <v>33.3</v>
      </c>
      <c r="M39" s="4" t="n">
        <v>38.3</v>
      </c>
      <c r="N39" s="4" t="n">
        <v>43.3</v>
      </c>
      <c r="O39" s="9" t="n">
        <f aca="false">MAX(1,MIN(5,1+INT(IFERROR(INDEX(Calculator!$E$6:$E$23,MATCH("ICE",Calculator!$A$6:$A$23,0)),0)/20)))</f>
        <v>1</v>
      </c>
      <c r="P39" s="24" t="n">
        <f aca="false">INDEX(J39:N39,O39)*(1+(IFERROR(G39/10*INDEX(Calculator!$E$6:$E$23,MATCH(F39,Calculator!$A$6:$A$23,0))/100,0)+IFERROR(I39/10*INDEX(Calculator!$E$6:$E$23,MATCH(H39,Calculator!$A$6:$A$23,0))/100,0))*(1+Constants!$B$25*Calculator!$C$28))*(1+Calculator!$C$45)*(1-(1-MIN(0.5,Constants!$B$26*Calculator!$C$28))*Constants!$B$6)</f>
        <v>21.686475</v>
      </c>
    </row>
    <row r="40" customFormat="false" ht="15" hidden="false" customHeight="false" outlineLevel="0" collapsed="false">
      <c r="A40" s="4" t="s">
        <v>2469</v>
      </c>
      <c r="B40" s="4" t="s">
        <v>61</v>
      </c>
      <c r="C40" s="4" t="s">
        <v>2422</v>
      </c>
      <c r="D40" s="4" t="s">
        <v>2427</v>
      </c>
      <c r="E40" s="4" t="s">
        <v>2468</v>
      </c>
      <c r="F40" s="4" t="s">
        <v>61</v>
      </c>
      <c r="G40" s="4" t="n">
        <v>2.75</v>
      </c>
      <c r="H40" s="4"/>
      <c r="I40" s="4" t="n">
        <v>0</v>
      </c>
      <c r="J40" s="4" t="n">
        <v>35</v>
      </c>
      <c r="K40" s="4" t="n">
        <v>38</v>
      </c>
      <c r="L40" s="4" t="n">
        <v>41</v>
      </c>
      <c r="M40" s="4" t="n">
        <v>44</v>
      </c>
      <c r="N40" s="4" t="n">
        <v>47</v>
      </c>
      <c r="O40" s="9" t="n">
        <f aca="false">MAX(1,MIN(5,1+INT(IFERROR(INDEX(Calculator!$E$6:$E$23,MATCH("ICE",Calculator!$A$6:$A$23,0)),0)/20)))</f>
        <v>1</v>
      </c>
      <c r="P40" s="24" t="n">
        <f aca="false">INDEX(J40:N40,O40)*(1+(IFERROR(G40/10*INDEX(Calculator!$E$6:$E$23,MATCH(F40,Calculator!$A$6:$A$23,0))/100,0)+IFERROR(I40/10*INDEX(Calculator!$E$6:$E$23,MATCH(H40,Calculator!$A$6:$A$23,0))/100,0))*(1+Constants!$B$25*Calculator!$C$28))*(1+Calculator!$C$45)*(1-(1-MIN(0.5,Constants!$B$26*Calculator!$C$28))*Constants!$B$6)</f>
        <v>32.57625</v>
      </c>
    </row>
    <row r="41" customFormat="false" ht="15" hidden="false" customHeight="false" outlineLevel="0" collapsed="false">
      <c r="A41" s="4" t="s">
        <v>2470</v>
      </c>
      <c r="B41" s="4" t="s">
        <v>67</v>
      </c>
      <c r="C41" s="4" t="s">
        <v>2422</v>
      </c>
      <c r="D41" s="4" t="s">
        <v>2427</v>
      </c>
      <c r="E41" s="4" t="s">
        <v>2070</v>
      </c>
      <c r="F41" s="4" t="s">
        <v>67</v>
      </c>
      <c r="G41" s="4" t="n">
        <v>2.75</v>
      </c>
      <c r="H41" s="4"/>
      <c r="I41" s="4" t="n">
        <v>0</v>
      </c>
      <c r="J41" s="4" t="n">
        <v>30</v>
      </c>
      <c r="K41" s="4" t="n">
        <v>34.5</v>
      </c>
      <c r="L41" s="4" t="n">
        <v>39</v>
      </c>
      <c r="M41" s="4" t="n">
        <v>43.5</v>
      </c>
      <c r="N41" s="4" t="n">
        <v>48</v>
      </c>
      <c r="O41" s="9" t="n">
        <f aca="false">MAX(1,MIN(5,1+INT(IFERROR(INDEX(Calculator!$E$6:$E$23,MATCH("SDW",Calculator!$A$6:$A$23,0)),0)/20)))</f>
        <v>1</v>
      </c>
      <c r="P41" s="24" t="n">
        <f aca="false">INDEX(J41:N41,O41)*(1+(IFERROR(G41/10*INDEX(Calculator!$E$6:$E$23,MATCH(F41,Calculator!$A$6:$A$23,0))/100,0)+IFERROR(I41/10*INDEX(Calculator!$E$6:$E$23,MATCH(H41,Calculator!$A$6:$A$23,0))/100,0))*(1+Constants!$B$25*Calculator!$C$28))*(1+Calculator!$C$45)*(1-(1-MIN(0.5,Constants!$B$26*Calculator!$C$28))*Constants!$B$6)</f>
        <v>27.9225</v>
      </c>
    </row>
    <row r="42" customFormat="false" ht="15" hidden="false" customHeight="false" outlineLevel="0" collapsed="false">
      <c r="A42" s="4" t="s">
        <v>2471</v>
      </c>
      <c r="B42" s="4" t="s">
        <v>1786</v>
      </c>
      <c r="C42" s="4" t="s">
        <v>2422</v>
      </c>
      <c r="D42" s="4" t="s">
        <v>2432</v>
      </c>
      <c r="E42" s="4" t="s">
        <v>1262</v>
      </c>
      <c r="F42" s="4"/>
      <c r="G42" s="4" t="n">
        <v>0</v>
      </c>
      <c r="H42" s="4"/>
      <c r="I42" s="4" t="n">
        <v>0</v>
      </c>
      <c r="J42" s="4"/>
      <c r="K42" s="4"/>
      <c r="L42" s="4"/>
      <c r="M42" s="4"/>
      <c r="N42" s="4"/>
    </row>
    <row r="43" customFormat="false" ht="15" hidden="false" customHeight="false" outlineLevel="0" collapsed="false">
      <c r="A43" s="4" t="s">
        <v>2472</v>
      </c>
      <c r="B43" s="4" t="s">
        <v>67</v>
      </c>
      <c r="C43" s="4" t="s">
        <v>2426</v>
      </c>
      <c r="D43" s="4" t="s">
        <v>2427</v>
      </c>
      <c r="E43" s="4" t="s">
        <v>1168</v>
      </c>
      <c r="F43" s="4"/>
      <c r="G43" s="4" t="n">
        <v>0</v>
      </c>
      <c r="H43" s="4"/>
      <c r="I43" s="4" t="n">
        <v>0</v>
      </c>
      <c r="J43" s="4"/>
      <c r="K43" s="4"/>
      <c r="L43" s="4"/>
      <c r="M43" s="4"/>
      <c r="N43" s="4"/>
    </row>
    <row r="44" customFormat="false" ht="15" hidden="false" customHeight="false" outlineLevel="0" collapsed="false">
      <c r="A44" s="4" t="s">
        <v>2473</v>
      </c>
      <c r="B44" s="4" t="s">
        <v>51</v>
      </c>
      <c r="C44" s="4" t="s">
        <v>2426</v>
      </c>
      <c r="D44" s="4" t="s">
        <v>2423</v>
      </c>
      <c r="E44" s="4" t="s">
        <v>732</v>
      </c>
      <c r="F44" s="4"/>
      <c r="G44" s="4" t="n">
        <v>0</v>
      </c>
      <c r="H44" s="4"/>
      <c r="I44" s="4" t="n">
        <v>0</v>
      </c>
      <c r="J44" s="4"/>
      <c r="K44" s="4"/>
      <c r="L44" s="4"/>
      <c r="M44" s="4"/>
      <c r="N44" s="4"/>
    </row>
    <row r="45" customFormat="false" ht="15" hidden="false" customHeight="false" outlineLevel="0" collapsed="false">
      <c r="A45" s="4" t="s">
        <v>2474</v>
      </c>
      <c r="B45" s="4" t="s">
        <v>2421</v>
      </c>
      <c r="C45" s="4" t="s">
        <v>2422</v>
      </c>
      <c r="D45" s="4" t="s">
        <v>2423</v>
      </c>
      <c r="E45" s="4" t="s">
        <v>585</v>
      </c>
      <c r="F45" s="4"/>
      <c r="G45" s="4" t="n">
        <v>0</v>
      </c>
      <c r="H45" s="4"/>
      <c r="I45" s="4" t="n">
        <v>0</v>
      </c>
      <c r="J45" s="4"/>
      <c r="K45" s="4"/>
      <c r="L45" s="4"/>
      <c r="M45" s="4"/>
      <c r="N45" s="4"/>
    </row>
    <row r="46" customFormat="false" ht="15" hidden="false" customHeight="false" outlineLevel="0" collapsed="false">
      <c r="A46" s="4" t="s">
        <v>2475</v>
      </c>
      <c r="B46" s="4" t="s">
        <v>51</v>
      </c>
      <c r="C46" s="4" t="s">
        <v>2426</v>
      </c>
      <c r="D46" s="4" t="s">
        <v>2427</v>
      </c>
      <c r="E46" s="4" t="s">
        <v>1816</v>
      </c>
      <c r="F46" s="4" t="s">
        <v>51</v>
      </c>
      <c r="G46" s="4" t="n">
        <v>1.65</v>
      </c>
      <c r="H46" s="4"/>
      <c r="I46" s="4" t="n">
        <v>0</v>
      </c>
      <c r="J46" s="4" t="n">
        <v>10</v>
      </c>
      <c r="K46" s="4" t="n">
        <v>12</v>
      </c>
      <c r="L46" s="4" t="n">
        <v>14</v>
      </c>
      <c r="M46" s="4" t="n">
        <v>16</v>
      </c>
      <c r="N46" s="4" t="n">
        <v>18</v>
      </c>
      <c r="O46" s="9" t="n">
        <f aca="false">MAX(1,MIN(5,1+INT(IFERROR(INDEX(Calculator!$E$6:$E$23,MATCH("CHA",Calculator!$A$6:$A$23,0)),0)/20)))</f>
        <v>2</v>
      </c>
      <c r="P46" s="24" t="n">
        <f aca="false">INDEX(J46:N46,O46)*(1+(IFERROR(G46/10*INDEX(Calculator!$E$6:$E$23,MATCH(F46,Calculator!$A$6:$A$23,0))/100,0)+IFERROR(I46/10*INDEX(Calculator!$E$6:$E$23,MATCH(H46,Calculator!$A$6:$A$23,0))/100,0))*(1+Constants!$B$25*Calculator!$C$28))*(1+Calculator!$C$45)*(1-(1-MIN(0.5,Constants!$B$26*Calculator!$C$28))*Constants!$B$6)</f>
        <v>11.749508775</v>
      </c>
    </row>
    <row r="47" customFormat="false" ht="15" hidden="false" customHeight="false" outlineLevel="0" collapsed="false">
      <c r="A47" s="4" t="s">
        <v>2476</v>
      </c>
      <c r="B47" s="4" t="s">
        <v>2477</v>
      </c>
      <c r="C47" s="4" t="s">
        <v>2422</v>
      </c>
      <c r="D47" s="4" t="s">
        <v>2427</v>
      </c>
      <c r="E47" s="4" t="s">
        <v>2478</v>
      </c>
      <c r="F47" s="4" t="s">
        <v>67</v>
      </c>
      <c r="G47" s="4" t="n">
        <v>2.75</v>
      </c>
      <c r="H47" s="4"/>
      <c r="I47" s="4" t="n">
        <v>0</v>
      </c>
      <c r="J47" s="4" t="n">
        <v>65</v>
      </c>
      <c r="K47" s="4" t="n">
        <v>77.5</v>
      </c>
      <c r="L47" s="4" t="n">
        <v>90</v>
      </c>
      <c r="M47" s="4" t="n">
        <v>102.5</v>
      </c>
      <c r="N47" s="4" t="n">
        <v>115</v>
      </c>
      <c r="O47" s="9" t="n">
        <f aca="false">MAX(1,MIN(5,1+INT(IFERROR(INDEX(Calculator!$E$6:$E$23,MATCH("SDW",Calculator!$A$6:$A$23,0)),0)/20)))</f>
        <v>1</v>
      </c>
      <c r="P47" s="24" t="n">
        <f aca="false">INDEX(J47:N47,O47)*(1+(IFERROR(G47/10*INDEX(Calculator!$E$6:$E$23,MATCH(F47,Calculator!$A$6:$A$23,0))/100,0)+IFERROR(I47/10*INDEX(Calculator!$E$6:$E$23,MATCH(H47,Calculator!$A$6:$A$23,0))/100,0))*(1+Constants!$B$25*Calculator!$C$28))*(1+Calculator!$C$45)*(1-(1-MIN(0.5,Constants!$B$26*Calculator!$C$28))*Constants!$B$6)</f>
        <v>60.49875</v>
      </c>
    </row>
    <row r="48" customFormat="false" ht="15" hidden="false" customHeight="false" outlineLevel="0" collapsed="false">
      <c r="A48" s="4" t="s">
        <v>2479</v>
      </c>
      <c r="B48" s="4" t="s">
        <v>63</v>
      </c>
      <c r="C48" s="4" t="s">
        <v>2422</v>
      </c>
      <c r="D48" s="4" t="s">
        <v>2427</v>
      </c>
      <c r="E48" s="4" t="s">
        <v>415</v>
      </c>
      <c r="F48" s="4" t="s">
        <v>63</v>
      </c>
      <c r="G48" s="4" t="n">
        <v>2.75</v>
      </c>
      <c r="H48" s="4"/>
      <c r="I48" s="4" t="n">
        <v>0</v>
      </c>
      <c r="J48" s="4" t="n">
        <v>56</v>
      </c>
      <c r="K48" s="4" t="n">
        <v>59.5</v>
      </c>
      <c r="L48" s="4" t="n">
        <v>63</v>
      </c>
      <c r="M48" s="4" t="n">
        <v>66.5</v>
      </c>
      <c r="N48" s="4" t="n">
        <v>70</v>
      </c>
      <c r="O48" s="9" t="n">
        <f aca="false">MAX(1,MIN(5,1+INT(IFERROR(INDEX(Calculator!$E$6:$E$23,MATCH("LTN",Calculator!$A$6:$A$23,0)),0)/20)))</f>
        <v>2</v>
      </c>
      <c r="P48" s="24" t="n">
        <f aca="false">INDEX(J48:N48,O48)*(1+(IFERROR(G48/10*INDEX(Calculator!$E$6:$E$23,MATCH(F48,Calculator!$A$6:$A$23,0))/100,0)+IFERROR(I48/10*INDEX(Calculator!$E$6:$E$23,MATCH(H48,Calculator!$A$6:$A$23,0))/100,0))*(1+Constants!$B$25*Calculator!$C$28))*(1+Calculator!$C$45)*(1-(1-MIN(0.5,Constants!$B$26*Calculator!$C$28))*Constants!$B$6)</f>
        <v>59.60121381375</v>
      </c>
    </row>
    <row r="49" customFormat="false" ht="15" hidden="false" customHeight="false" outlineLevel="0" collapsed="false">
      <c r="A49" s="4" t="s">
        <v>2480</v>
      </c>
      <c r="B49" s="4" t="s">
        <v>63</v>
      </c>
      <c r="C49" s="4" t="s">
        <v>2422</v>
      </c>
      <c r="D49" s="4" t="s">
        <v>2427</v>
      </c>
      <c r="E49" s="4" t="s">
        <v>753</v>
      </c>
      <c r="F49" s="4" t="s">
        <v>63</v>
      </c>
      <c r="G49" s="4" t="n">
        <v>2.75</v>
      </c>
      <c r="H49" s="4"/>
      <c r="I49" s="4" t="n">
        <v>0</v>
      </c>
      <c r="J49" s="4" t="n">
        <v>20.25</v>
      </c>
      <c r="K49" s="4" t="n">
        <v>22.95</v>
      </c>
      <c r="L49" s="4" t="n">
        <v>22.65</v>
      </c>
      <c r="M49" s="4" t="n">
        <v>28.35</v>
      </c>
      <c r="N49" s="4" t="n">
        <v>31.05</v>
      </c>
      <c r="O49" s="9" t="n">
        <f aca="false">MAX(1,MIN(5,1+INT(IFERROR(INDEX(Calculator!$E$6:$E$23,MATCH("LTN",Calculator!$A$6:$A$23,0)),0)/20)))</f>
        <v>2</v>
      </c>
      <c r="P49" s="24" t="n">
        <f aca="false">INDEX(J49:N49,O49)*(1+(IFERROR(G49/10*INDEX(Calculator!$E$6:$E$23,MATCH(F49,Calculator!$A$6:$A$23,0))/100,0)+IFERROR(I49/10*INDEX(Calculator!$E$6:$E$23,MATCH(H49,Calculator!$A$6:$A$23,0))/100,0))*(1+Constants!$B$25*Calculator!$C$28))*(1+Calculator!$C$45)*(1-(1-MIN(0.5,Constants!$B$26*Calculator!$C$28))*Constants!$B$6)</f>
        <v>22.989039613875</v>
      </c>
    </row>
    <row r="50" customFormat="false" ht="15" hidden="false" customHeight="false" outlineLevel="0" collapsed="false">
      <c r="A50" s="4" t="s">
        <v>2481</v>
      </c>
      <c r="B50" s="4" t="s">
        <v>67</v>
      </c>
      <c r="C50" s="4" t="s">
        <v>2429</v>
      </c>
      <c r="D50" s="4" t="s">
        <v>2427</v>
      </c>
      <c r="E50" s="4" t="s">
        <v>410</v>
      </c>
      <c r="F50" s="4" t="s">
        <v>67</v>
      </c>
      <c r="G50" s="4" t="n">
        <v>2.75</v>
      </c>
      <c r="H50" s="4"/>
      <c r="I50" s="4" t="n">
        <v>0</v>
      </c>
      <c r="J50" s="4" t="n">
        <v>10</v>
      </c>
      <c r="K50" s="4" t="n">
        <v>15</v>
      </c>
      <c r="L50" s="4" t="n">
        <v>20</v>
      </c>
      <c r="M50" s="4" t="n">
        <v>25</v>
      </c>
      <c r="N50" s="4" t="n">
        <v>30</v>
      </c>
      <c r="O50" s="9" t="n">
        <f aca="false">MAX(1,MIN(5,1+INT(IFERROR(INDEX(Calculator!$E$6:$E$23,MATCH("SDW",Calculator!$A$6:$A$23,0)),0)/20)))</f>
        <v>1</v>
      </c>
      <c r="P50" s="24" t="n">
        <f aca="false">INDEX(J50:N50,O50)*(1+(IFERROR(G50/10*INDEX(Calculator!$E$6:$E$23,MATCH(F50,Calculator!$A$6:$A$23,0))/100,0)+IFERROR(I50/10*INDEX(Calculator!$E$6:$E$23,MATCH(H50,Calculator!$A$6:$A$23,0))/100,0))*(1+Constants!$B$25*Calculator!$C$28))*(1+Calculator!$C$45)*(1-(1-MIN(0.5,Constants!$B$26*Calculator!$C$28))*Constants!$B$6)</f>
        <v>9.3075</v>
      </c>
    </row>
    <row r="51" customFormat="false" ht="15" hidden="false" customHeight="false" outlineLevel="0" collapsed="false">
      <c r="A51" s="4" t="s">
        <v>2482</v>
      </c>
      <c r="B51" s="4" t="s">
        <v>2421</v>
      </c>
      <c r="C51" s="4" t="s">
        <v>2426</v>
      </c>
      <c r="D51" s="4" t="s">
        <v>2423</v>
      </c>
      <c r="E51" s="4" t="s">
        <v>585</v>
      </c>
      <c r="F51" s="4"/>
      <c r="G51" s="4" t="n">
        <v>0</v>
      </c>
      <c r="H51" s="4"/>
      <c r="I51" s="4" t="n">
        <v>0</v>
      </c>
      <c r="J51" s="4"/>
      <c r="K51" s="4"/>
      <c r="L51" s="4"/>
      <c r="M51" s="4"/>
      <c r="N51" s="4"/>
    </row>
    <row r="52" customFormat="false" ht="15" hidden="false" customHeight="false" outlineLevel="0" collapsed="false">
      <c r="A52" s="4" t="s">
        <v>2483</v>
      </c>
      <c r="B52" s="4" t="s">
        <v>1796</v>
      </c>
      <c r="C52" s="4" t="s">
        <v>2422</v>
      </c>
      <c r="D52" s="4" t="s">
        <v>2432</v>
      </c>
      <c r="E52" s="4" t="s">
        <v>1484</v>
      </c>
      <c r="F52" s="4"/>
      <c r="G52" s="4" t="n">
        <v>0</v>
      </c>
      <c r="H52" s="4"/>
      <c r="I52" s="4" t="n">
        <v>0</v>
      </c>
      <c r="J52" s="4"/>
      <c r="K52" s="4"/>
      <c r="L52" s="4"/>
      <c r="M52" s="4"/>
      <c r="N52" s="4"/>
    </row>
    <row r="53" customFormat="false" ht="15" hidden="false" customHeight="false" outlineLevel="0" collapsed="false">
      <c r="A53" s="4" t="s">
        <v>2484</v>
      </c>
      <c r="B53" s="4" t="s">
        <v>47</v>
      </c>
      <c r="C53" s="4" t="s">
        <v>2422</v>
      </c>
      <c r="D53" s="4" t="s">
        <v>2427</v>
      </c>
      <c r="E53" s="4" t="s">
        <v>1125</v>
      </c>
      <c r="F53" s="4" t="s">
        <v>47</v>
      </c>
      <c r="G53" s="4" t="n">
        <v>1.65</v>
      </c>
      <c r="H53" s="4"/>
      <c r="I53" s="4" t="n">
        <v>0</v>
      </c>
      <c r="J53" s="4" t="n">
        <v>36</v>
      </c>
      <c r="K53" s="4" t="n">
        <v>39</v>
      </c>
      <c r="L53" s="4" t="n">
        <v>42</v>
      </c>
      <c r="M53" s="4" t="n">
        <v>45</v>
      </c>
      <c r="N53" s="4" t="n">
        <v>48</v>
      </c>
      <c r="O53" s="9" t="n">
        <f aca="false">MAX(1,MIN(5,1+INT(IFERROR(INDEX(Calculator!$E$6:$E$23,MATCH("INT",Calculator!$A$6:$A$23,0)),0)/20)))</f>
        <v>1</v>
      </c>
      <c r="P53" s="24" t="n">
        <f aca="false">INDEX(J53:N53,O53)*(1+(IFERROR(G53/10*INDEX(Calculator!$E$6:$E$23,MATCH(F53,Calculator!$A$6:$A$23,0))/100,0)+IFERROR(I53/10*INDEX(Calculator!$E$6:$E$23,MATCH(H53,Calculator!$A$6:$A$23,0))/100,0))*(1+Constants!$B$25*Calculator!$C$28))*(1+Calculator!$C$45)*(1-(1-MIN(0.5,Constants!$B$26*Calculator!$C$28))*Constants!$B$6)</f>
        <v>33.507</v>
      </c>
    </row>
    <row r="54" customFormat="false" ht="15" hidden="false" customHeight="false" outlineLevel="0" collapsed="false">
      <c r="A54" s="4" t="s">
        <v>2485</v>
      </c>
      <c r="B54" s="4" t="s">
        <v>49</v>
      </c>
      <c r="C54" s="4" t="s">
        <v>2422</v>
      </c>
      <c r="D54" s="4" t="s">
        <v>2427</v>
      </c>
      <c r="E54" s="4" t="s">
        <v>1793</v>
      </c>
      <c r="F54" s="4" t="s">
        <v>49</v>
      </c>
      <c r="G54" s="4" t="n">
        <v>1.65</v>
      </c>
      <c r="H54" s="4"/>
      <c r="I54" s="4" t="n">
        <v>0</v>
      </c>
      <c r="J54" s="4" t="n">
        <v>20</v>
      </c>
      <c r="K54" s="4" t="n">
        <v>22</v>
      </c>
      <c r="L54" s="4" t="n">
        <v>24</v>
      </c>
      <c r="M54" s="4" t="n">
        <v>26</v>
      </c>
      <c r="N54" s="4" t="n">
        <v>28</v>
      </c>
      <c r="O54" s="9" t="n">
        <f aca="false">MAX(1,MIN(5,1+INT(IFERROR(INDEX(Calculator!$E$6:$E$23,MATCH("WLL",Calculator!$A$6:$A$23,0)),0)/20)))</f>
        <v>2</v>
      </c>
      <c r="P54" s="24" t="n">
        <f aca="false">INDEX(J54:N54,O54)*(1+(IFERROR(G54/10*INDEX(Calculator!$E$6:$E$23,MATCH(F54,Calculator!$A$6:$A$23,0))/100,0)+IFERROR(I54/10*INDEX(Calculator!$E$6:$E$23,MATCH(H54,Calculator!$A$6:$A$23,0))/100,0))*(1+Constants!$B$25*Calculator!$C$28))*(1+Calculator!$C$45)*(1-(1-MIN(0.5,Constants!$B$26*Calculator!$C$28))*Constants!$B$6)</f>
        <v>21.413054157</v>
      </c>
    </row>
    <row r="55" customFormat="false" ht="15" hidden="false" customHeight="false" outlineLevel="0" collapsed="false">
      <c r="A55" s="4" t="s">
        <v>2486</v>
      </c>
      <c r="B55" s="4" t="s">
        <v>1801</v>
      </c>
      <c r="C55" s="4" t="s">
        <v>2422</v>
      </c>
      <c r="D55" s="4" t="s">
        <v>2432</v>
      </c>
      <c r="E55" s="4" t="s">
        <v>375</v>
      </c>
      <c r="F55" s="4"/>
      <c r="G55" s="4" t="n">
        <v>0</v>
      </c>
      <c r="H55" s="4"/>
      <c r="I55" s="4" t="n">
        <v>0</v>
      </c>
      <c r="J55" s="4"/>
      <c r="K55" s="4"/>
      <c r="L55" s="4"/>
      <c r="M55" s="4"/>
      <c r="N55" s="4"/>
    </row>
    <row r="56" customFormat="false" ht="15" hidden="false" customHeight="false" outlineLevel="0" collapsed="false">
      <c r="A56" s="4" t="s">
        <v>2487</v>
      </c>
      <c r="B56" s="4" t="s">
        <v>59</v>
      </c>
      <c r="C56" s="4" t="s">
        <v>2422</v>
      </c>
      <c r="D56" s="4" t="s">
        <v>2427</v>
      </c>
      <c r="E56" s="4" t="s">
        <v>1244</v>
      </c>
      <c r="F56" s="4" t="s">
        <v>59</v>
      </c>
      <c r="G56" s="4" t="n">
        <v>2.75</v>
      </c>
      <c r="H56" s="4"/>
      <c r="I56" s="4" t="n">
        <v>0</v>
      </c>
      <c r="J56" s="4" t="n">
        <v>18</v>
      </c>
      <c r="K56" s="4" t="n">
        <v>21</v>
      </c>
      <c r="L56" s="4" t="n">
        <v>24</v>
      </c>
      <c r="M56" s="4" t="n">
        <v>27</v>
      </c>
      <c r="N56" s="4" t="n">
        <v>30</v>
      </c>
      <c r="O56" s="9" t="n">
        <f aca="false">MAX(1,MIN(5,1+INT(IFERROR(INDEX(Calculator!$E$6:$E$23,MATCH("FLM",Calculator!$A$6:$A$23,0)),0)/20)))</f>
        <v>1</v>
      </c>
      <c r="P56" s="24" t="n">
        <f aca="false">INDEX(J56:N56,O56)*(1+(IFERROR(G56/10*INDEX(Calculator!$E$6:$E$23,MATCH(F56,Calculator!$A$6:$A$23,0))/100,0)+IFERROR(I56/10*INDEX(Calculator!$E$6:$E$23,MATCH(H56,Calculator!$A$6:$A$23,0))/100,0))*(1+Constants!$B$25*Calculator!$C$28))*(1+Calculator!$C$45)*(1-(1-MIN(0.5,Constants!$B$26*Calculator!$C$28))*Constants!$B$6)</f>
        <v>16.7535</v>
      </c>
    </row>
    <row r="57" customFormat="false" ht="15" hidden="false" customHeight="false" outlineLevel="0" collapsed="false">
      <c r="A57" s="4" t="s">
        <v>2488</v>
      </c>
      <c r="B57" s="4" t="s">
        <v>59</v>
      </c>
      <c r="C57" s="4" t="s">
        <v>2422</v>
      </c>
      <c r="D57" s="4" t="s">
        <v>2427</v>
      </c>
      <c r="E57" s="4" t="s">
        <v>390</v>
      </c>
      <c r="F57" s="4" t="s">
        <v>59</v>
      </c>
      <c r="G57" s="4" t="n">
        <v>2.75</v>
      </c>
      <c r="H57" s="4"/>
      <c r="I57" s="4" t="n">
        <v>0</v>
      </c>
      <c r="J57" s="4" t="n">
        <v>48</v>
      </c>
      <c r="K57" s="4" t="n">
        <v>53</v>
      </c>
      <c r="L57" s="4" t="n">
        <v>58</v>
      </c>
      <c r="M57" s="4" t="n">
        <v>63</v>
      </c>
      <c r="N57" s="4" t="n">
        <v>68</v>
      </c>
      <c r="O57" s="9" t="n">
        <f aca="false">MAX(1,MIN(5,1+INT(IFERROR(INDEX(Calculator!$E$6:$E$23,MATCH("FLM",Calculator!$A$6:$A$23,0)),0)/20)))</f>
        <v>1</v>
      </c>
      <c r="P57" s="24" t="n">
        <f aca="false">INDEX(J57:N57,O57)*(1+(IFERROR(G57/10*INDEX(Calculator!$E$6:$E$23,MATCH(F57,Calculator!$A$6:$A$23,0))/100,0)+IFERROR(I57/10*INDEX(Calculator!$E$6:$E$23,MATCH(H57,Calculator!$A$6:$A$23,0))/100,0))*(1+Constants!$B$25*Calculator!$C$28))*(1+Calculator!$C$45)*(1-(1-MIN(0.5,Constants!$B$26*Calculator!$C$28))*Constants!$B$6)</f>
        <v>44.676</v>
      </c>
    </row>
    <row r="58" customFormat="false" ht="15" hidden="false" customHeight="false" outlineLevel="0" collapsed="false">
      <c r="A58" s="4" t="s">
        <v>2489</v>
      </c>
      <c r="B58" s="4" t="s">
        <v>59</v>
      </c>
      <c r="C58" s="4" t="s">
        <v>2422</v>
      </c>
      <c r="D58" s="4" t="s">
        <v>2427</v>
      </c>
      <c r="E58" s="4" t="s">
        <v>390</v>
      </c>
      <c r="F58" s="4" t="s">
        <v>59</v>
      </c>
      <c r="G58" s="4" t="n">
        <v>2.75</v>
      </c>
      <c r="H58" s="4"/>
      <c r="I58" s="4" t="n">
        <v>0</v>
      </c>
      <c r="J58" s="4" t="n">
        <v>25</v>
      </c>
      <c r="K58" s="4" t="n">
        <v>28</v>
      </c>
      <c r="L58" s="4" t="n">
        <v>31</v>
      </c>
      <c r="M58" s="4" t="n">
        <v>34</v>
      </c>
      <c r="N58" s="4" t="n">
        <v>37</v>
      </c>
      <c r="O58" s="9" t="n">
        <f aca="false">MAX(1,MIN(5,1+INT(IFERROR(INDEX(Calculator!$E$6:$E$23,MATCH("FLM",Calculator!$A$6:$A$23,0)),0)/20)))</f>
        <v>1</v>
      </c>
      <c r="P58" s="24" t="n">
        <f aca="false">INDEX(J58:N58,O58)*(1+(IFERROR(G58/10*INDEX(Calculator!$E$6:$E$23,MATCH(F58,Calculator!$A$6:$A$23,0))/100,0)+IFERROR(I58/10*INDEX(Calculator!$E$6:$E$23,MATCH(H58,Calculator!$A$6:$A$23,0))/100,0))*(1+Constants!$B$25*Calculator!$C$28))*(1+Calculator!$C$45)*(1-(1-MIN(0.5,Constants!$B$26*Calculator!$C$28))*Constants!$B$6)</f>
        <v>23.26875</v>
      </c>
    </row>
    <row r="59" customFormat="false" ht="15" hidden="false" customHeight="false" outlineLevel="0" collapsed="false">
      <c r="A59" s="4" t="s">
        <v>2490</v>
      </c>
      <c r="B59" s="4" t="s">
        <v>59</v>
      </c>
      <c r="C59" s="4" t="s">
        <v>2422</v>
      </c>
      <c r="D59" s="4" t="s">
        <v>2427</v>
      </c>
      <c r="E59" s="4" t="s">
        <v>1244</v>
      </c>
      <c r="F59" s="4" t="s">
        <v>59</v>
      </c>
      <c r="G59" s="4" t="n">
        <v>2.75</v>
      </c>
      <c r="H59" s="4"/>
      <c r="I59" s="4" t="n">
        <v>0</v>
      </c>
      <c r="J59" s="4" t="n">
        <v>6.5</v>
      </c>
      <c r="K59" s="4" t="n">
        <v>8.5</v>
      </c>
      <c r="L59" s="4" t="n">
        <v>10.5</v>
      </c>
      <c r="M59" s="4" t="n">
        <v>12.5</v>
      </c>
      <c r="N59" s="4" t="n">
        <v>14.5</v>
      </c>
      <c r="O59" s="9" t="n">
        <f aca="false">MAX(1,MIN(5,1+INT(IFERROR(INDEX(Calculator!$E$6:$E$23,MATCH("FLM",Calculator!$A$6:$A$23,0)),0)/20)))</f>
        <v>1</v>
      </c>
      <c r="P59" s="24" t="n">
        <f aca="false">INDEX(J59:N59,O59)*(1+(IFERROR(G59/10*INDEX(Calculator!$E$6:$E$23,MATCH(F59,Calculator!$A$6:$A$23,0))/100,0)+IFERROR(I59/10*INDEX(Calculator!$E$6:$E$23,MATCH(H59,Calculator!$A$6:$A$23,0))/100,0))*(1+Constants!$B$25*Calculator!$C$28))*(1+Calculator!$C$45)*(1-(1-MIN(0.5,Constants!$B$26*Calculator!$C$28))*Constants!$B$6)</f>
        <v>6.049875</v>
      </c>
    </row>
    <row r="60" customFormat="false" ht="15" hidden="false" customHeight="false" outlineLevel="0" collapsed="false">
      <c r="A60" s="4" t="s">
        <v>2491</v>
      </c>
      <c r="B60" s="4" t="s">
        <v>59</v>
      </c>
      <c r="C60" s="4" t="s">
        <v>2422</v>
      </c>
      <c r="D60" s="4" t="s">
        <v>2427</v>
      </c>
      <c r="E60" s="4" t="s">
        <v>390</v>
      </c>
      <c r="F60" s="4" t="s">
        <v>59</v>
      </c>
      <c r="G60" s="4" t="n">
        <v>2.75</v>
      </c>
      <c r="H60" s="4"/>
      <c r="I60" s="4" t="n">
        <v>0</v>
      </c>
      <c r="J60" s="4" t="n">
        <v>26</v>
      </c>
      <c r="K60" s="4" t="n">
        <v>27.5</v>
      </c>
      <c r="L60" s="4" t="n">
        <v>29</v>
      </c>
      <c r="M60" s="4" t="n">
        <v>30.5</v>
      </c>
      <c r="N60" s="4" t="n">
        <v>32</v>
      </c>
      <c r="O60" s="9" t="n">
        <f aca="false">MAX(1,MIN(5,1+INT(IFERROR(INDEX(Calculator!$E$6:$E$23,MATCH("FLM",Calculator!$A$6:$A$23,0)),0)/20)))</f>
        <v>1</v>
      </c>
      <c r="P60" s="24" t="n">
        <f aca="false">INDEX(J60:N60,O60)*(1+(IFERROR(G60/10*INDEX(Calculator!$E$6:$E$23,MATCH(F60,Calculator!$A$6:$A$23,0))/100,0)+IFERROR(I60/10*INDEX(Calculator!$E$6:$E$23,MATCH(H60,Calculator!$A$6:$A$23,0))/100,0))*(1+Constants!$B$25*Calculator!$C$28))*(1+Calculator!$C$45)*(1-(1-MIN(0.5,Constants!$B$26*Calculator!$C$28))*Constants!$B$6)</f>
        <v>24.1995</v>
      </c>
    </row>
    <row r="61" customFormat="false" ht="15" hidden="false" customHeight="false" outlineLevel="0" collapsed="false">
      <c r="A61" s="4" t="s">
        <v>2492</v>
      </c>
      <c r="B61" s="4" t="s">
        <v>69</v>
      </c>
      <c r="C61" s="4" t="s">
        <v>2422</v>
      </c>
      <c r="D61" s="4" t="s">
        <v>2427</v>
      </c>
      <c r="E61" s="4" t="s">
        <v>1164</v>
      </c>
      <c r="F61" s="4" t="s">
        <v>69</v>
      </c>
      <c r="G61" s="4" t="n">
        <v>2.75</v>
      </c>
      <c r="H61" s="4"/>
      <c r="I61" s="4" t="n">
        <v>0</v>
      </c>
      <c r="J61" s="4" t="n">
        <v>5.2</v>
      </c>
      <c r="K61" s="4" t="n">
        <v>5.85</v>
      </c>
      <c r="L61" s="4" t="n">
        <v>6.5</v>
      </c>
      <c r="M61" s="4" t="n">
        <v>7.15</v>
      </c>
      <c r="N61" s="4" t="n">
        <v>7.8</v>
      </c>
      <c r="O61" s="9" t="n">
        <f aca="false">MAX(1,MIN(5,1+INT(IFERROR(INDEX(Calculator!$E$6:$E$23,MATCH("IRN",Calculator!$A$6:$A$23,0)),0)/20)))</f>
        <v>5</v>
      </c>
      <c r="P61" s="24" t="n">
        <f aca="false">INDEX(J61:N61,O61)*(1+(IFERROR(G61/10*INDEX(Calculator!$E$6:$E$23,MATCH(F61,Calculator!$A$6:$A$23,0))/100,0)+IFERROR(I61/10*INDEX(Calculator!$E$6:$E$23,MATCH(H61,Calculator!$A$6:$A$23,0))/100,0))*(1+Constants!$B$25*Calculator!$C$28))*(1+Calculator!$C$45)*(1-(1-MIN(0.5,Constants!$B$26*Calculator!$C$28))*Constants!$B$6)</f>
        <v>9.5238342225</v>
      </c>
    </row>
    <row r="62" customFormat="false" ht="15" hidden="false" customHeight="false" outlineLevel="0" collapsed="false">
      <c r="A62" s="4" t="s">
        <v>2493</v>
      </c>
      <c r="B62" s="4" t="s">
        <v>59</v>
      </c>
      <c r="C62" s="4" t="s">
        <v>2429</v>
      </c>
      <c r="D62" s="4" t="s">
        <v>2427</v>
      </c>
      <c r="E62" s="4" t="s">
        <v>1154</v>
      </c>
      <c r="F62" s="4" t="s">
        <v>59</v>
      </c>
      <c r="G62" s="4" t="n">
        <v>2.75</v>
      </c>
      <c r="H62" s="4"/>
      <c r="I62" s="4" t="n">
        <v>0</v>
      </c>
      <c r="J62" s="4" t="n">
        <v>8</v>
      </c>
      <c r="K62" s="4" t="n">
        <v>16</v>
      </c>
      <c r="L62" s="4" t="n">
        <v>24</v>
      </c>
      <c r="M62" s="4" t="n">
        <v>32</v>
      </c>
      <c r="N62" s="4" t="n">
        <v>40</v>
      </c>
      <c r="O62" s="9" t="n">
        <f aca="false">MAX(1,MIN(5,1+INT(IFERROR(INDEX(Calculator!$E$6:$E$23,MATCH("FLM",Calculator!$A$6:$A$23,0)),0)/20)))</f>
        <v>1</v>
      </c>
      <c r="P62" s="24" t="n">
        <f aca="false">INDEX(J62:N62,O62)*(1+(IFERROR(G62/10*INDEX(Calculator!$E$6:$E$23,MATCH(F62,Calculator!$A$6:$A$23,0))/100,0)+IFERROR(I62/10*INDEX(Calculator!$E$6:$E$23,MATCH(H62,Calculator!$A$6:$A$23,0))/100,0))*(1+Constants!$B$25*Calculator!$C$28))*(1+Calculator!$C$45)*(1-(1-MIN(0.5,Constants!$B$26*Calculator!$C$28))*Constants!$B$6)</f>
        <v>7.446</v>
      </c>
    </row>
    <row r="63" customFormat="false" ht="15" hidden="false" customHeight="false" outlineLevel="0" collapsed="false">
      <c r="A63" s="4" t="s">
        <v>2494</v>
      </c>
      <c r="B63" s="4" t="s">
        <v>59</v>
      </c>
      <c r="C63" s="4" t="s">
        <v>2422</v>
      </c>
      <c r="D63" s="4" t="s">
        <v>2427</v>
      </c>
      <c r="E63" s="4" t="s">
        <v>1079</v>
      </c>
      <c r="F63" s="4" t="s">
        <v>59</v>
      </c>
      <c r="G63" s="4" t="n">
        <v>2.75</v>
      </c>
      <c r="H63" s="4"/>
      <c r="I63" s="4" t="n">
        <v>0</v>
      </c>
      <c r="J63" s="4" t="n">
        <v>82</v>
      </c>
      <c r="K63" s="4" t="n">
        <v>85.5</v>
      </c>
      <c r="L63" s="4" t="n">
        <v>89</v>
      </c>
      <c r="M63" s="4" t="n">
        <v>92.5</v>
      </c>
      <c r="N63" s="4" t="n">
        <v>96</v>
      </c>
      <c r="O63" s="9" t="n">
        <f aca="false">MAX(1,MIN(5,1+INT(IFERROR(INDEX(Calculator!$E$6:$E$23,MATCH("FLM",Calculator!$A$6:$A$23,0)),0)/20)))</f>
        <v>1</v>
      </c>
      <c r="P63" s="24" t="n">
        <f aca="false">INDEX(J63:N63,O63)*(1+(IFERROR(G63/10*INDEX(Calculator!$E$6:$E$23,MATCH(F63,Calculator!$A$6:$A$23,0))/100,0)+IFERROR(I63/10*INDEX(Calculator!$E$6:$E$23,MATCH(H63,Calculator!$A$6:$A$23,0))/100,0))*(1+Constants!$B$25*Calculator!$C$28))*(1+Calculator!$C$45)*(1-(1-MIN(0.5,Constants!$B$26*Calculator!$C$28))*Constants!$B$6)</f>
        <v>76.3215</v>
      </c>
    </row>
    <row r="64" customFormat="false" ht="15" hidden="false" customHeight="false" outlineLevel="0" collapsed="false">
      <c r="A64" s="4" t="s">
        <v>2495</v>
      </c>
      <c r="B64" s="4" t="s">
        <v>59</v>
      </c>
      <c r="C64" s="4" t="s">
        <v>2426</v>
      </c>
      <c r="D64" s="4" t="s">
        <v>2427</v>
      </c>
      <c r="E64" s="4" t="s">
        <v>1244</v>
      </c>
      <c r="F64" s="4"/>
      <c r="G64" s="4" t="n">
        <v>0</v>
      </c>
      <c r="H64" s="4"/>
      <c r="I64" s="4" t="n">
        <v>0</v>
      </c>
      <c r="J64" s="4"/>
      <c r="K64" s="4"/>
      <c r="L64" s="4"/>
      <c r="M64" s="4"/>
      <c r="N64" s="4"/>
    </row>
    <row r="65" customFormat="false" ht="15" hidden="false" customHeight="false" outlineLevel="0" collapsed="false">
      <c r="A65" s="4" t="s">
        <v>2496</v>
      </c>
      <c r="B65" s="4" t="s">
        <v>59</v>
      </c>
      <c r="C65" s="4" t="s">
        <v>2422</v>
      </c>
      <c r="D65" s="4" t="s">
        <v>2427</v>
      </c>
      <c r="E65" s="4" t="s">
        <v>1244</v>
      </c>
      <c r="F65" s="4" t="s">
        <v>59</v>
      </c>
      <c r="G65" s="4" t="n">
        <v>2.75</v>
      </c>
      <c r="H65" s="4"/>
      <c r="I65" s="4" t="n">
        <v>0</v>
      </c>
      <c r="J65" s="4" t="n">
        <v>15</v>
      </c>
      <c r="K65" s="4" t="n">
        <v>20</v>
      </c>
      <c r="L65" s="4" t="n">
        <v>25</v>
      </c>
      <c r="M65" s="4" t="n">
        <v>30</v>
      </c>
      <c r="N65" s="4" t="n">
        <v>35</v>
      </c>
      <c r="O65" s="9" t="n">
        <f aca="false">MAX(1,MIN(5,1+INT(IFERROR(INDEX(Calculator!$E$6:$E$23,MATCH("FLM",Calculator!$A$6:$A$23,0)),0)/20)))</f>
        <v>1</v>
      </c>
      <c r="P65" s="24" t="n">
        <f aca="false">INDEX(J65:N65,O65)*(1+(IFERROR(G65/10*INDEX(Calculator!$E$6:$E$23,MATCH(F65,Calculator!$A$6:$A$23,0))/100,0)+IFERROR(I65/10*INDEX(Calculator!$E$6:$E$23,MATCH(H65,Calculator!$A$6:$A$23,0))/100,0))*(1+Constants!$B$25*Calculator!$C$28))*(1+Calculator!$C$45)*(1-(1-MIN(0.5,Constants!$B$26*Calculator!$C$28))*Constants!$B$6)</f>
        <v>13.96125</v>
      </c>
    </row>
    <row r="66" customFormat="false" ht="15" hidden="false" customHeight="false" outlineLevel="0" collapsed="false">
      <c r="A66" s="4" t="s">
        <v>2497</v>
      </c>
      <c r="B66" s="4" t="s">
        <v>59</v>
      </c>
      <c r="C66" s="4" t="s">
        <v>2429</v>
      </c>
      <c r="D66" s="4" t="s">
        <v>2427</v>
      </c>
      <c r="E66" s="4" t="s">
        <v>1154</v>
      </c>
      <c r="F66" s="4"/>
      <c r="G66" s="4" t="n">
        <v>0</v>
      </c>
      <c r="H66" s="4"/>
      <c r="I66" s="4" t="n">
        <v>0</v>
      </c>
      <c r="J66" s="4"/>
      <c r="K66" s="4"/>
      <c r="L66" s="4"/>
      <c r="M66" s="4"/>
      <c r="N66" s="4"/>
    </row>
    <row r="67" customFormat="false" ht="15" hidden="false" customHeight="false" outlineLevel="0" collapsed="false">
      <c r="A67" s="4" t="s">
        <v>2498</v>
      </c>
      <c r="B67" s="4" t="s">
        <v>59</v>
      </c>
      <c r="C67" s="4" t="s">
        <v>2422</v>
      </c>
      <c r="D67" s="4" t="s">
        <v>2427</v>
      </c>
      <c r="E67" s="4" t="s">
        <v>1244</v>
      </c>
      <c r="F67" s="4" t="s">
        <v>59</v>
      </c>
      <c r="G67" s="4" t="n">
        <v>2.75</v>
      </c>
      <c r="H67" s="4"/>
      <c r="I67" s="4" t="n">
        <v>0</v>
      </c>
      <c r="J67" s="4" t="n">
        <v>16</v>
      </c>
      <c r="K67" s="4" t="n">
        <v>18.4</v>
      </c>
      <c r="L67" s="4" t="n">
        <v>20.8</v>
      </c>
      <c r="M67" s="4" t="n">
        <v>23.2</v>
      </c>
      <c r="N67" s="4" t="n">
        <v>25.6</v>
      </c>
      <c r="O67" s="9" t="n">
        <f aca="false">MAX(1,MIN(5,1+INT(IFERROR(INDEX(Calculator!$E$6:$E$23,MATCH("FLM",Calculator!$A$6:$A$23,0)),0)/20)))</f>
        <v>1</v>
      </c>
      <c r="P67" s="24" t="n">
        <f aca="false">INDEX(J67:N67,O67)*(1+(IFERROR(G67/10*INDEX(Calculator!$E$6:$E$23,MATCH(F67,Calculator!$A$6:$A$23,0))/100,0)+IFERROR(I67/10*INDEX(Calculator!$E$6:$E$23,MATCH(H67,Calculator!$A$6:$A$23,0))/100,0))*(1+Constants!$B$25*Calculator!$C$28))*(1+Calculator!$C$45)*(1-(1-MIN(0.5,Constants!$B$26*Calculator!$C$28))*Constants!$B$6)</f>
        <v>14.892</v>
      </c>
    </row>
    <row r="68" customFormat="false" ht="15" hidden="false" customHeight="false" outlineLevel="0" collapsed="false">
      <c r="A68" s="4" t="s">
        <v>2499</v>
      </c>
      <c r="B68" s="4" t="s">
        <v>59</v>
      </c>
      <c r="C68" s="4" t="s">
        <v>2422</v>
      </c>
      <c r="D68" s="4" t="s">
        <v>2427</v>
      </c>
      <c r="E68" s="4" t="s">
        <v>1154</v>
      </c>
      <c r="F68" s="4" t="s">
        <v>59</v>
      </c>
      <c r="G68" s="4" t="n">
        <v>2.75</v>
      </c>
      <c r="H68" s="4"/>
      <c r="I68" s="4" t="n">
        <v>0</v>
      </c>
      <c r="J68" s="4" t="n">
        <v>5</v>
      </c>
      <c r="K68" s="4" t="n">
        <v>6</v>
      </c>
      <c r="L68" s="4" t="n">
        <v>7</v>
      </c>
      <c r="M68" s="4" t="n">
        <v>8</v>
      </c>
      <c r="N68" s="4" t="n">
        <v>9</v>
      </c>
      <c r="O68" s="9" t="n">
        <f aca="false">MAX(1,MIN(5,1+INT(IFERROR(INDEX(Calculator!$E$6:$E$23,MATCH("FLM",Calculator!$A$6:$A$23,0)),0)/20)))</f>
        <v>1</v>
      </c>
      <c r="P68" s="24" t="n">
        <f aca="false">INDEX(J68:N68,O68)*(1+(IFERROR(G68/10*INDEX(Calculator!$E$6:$E$23,MATCH(F68,Calculator!$A$6:$A$23,0))/100,0)+IFERROR(I68/10*INDEX(Calculator!$E$6:$E$23,MATCH(H68,Calculator!$A$6:$A$23,0))/100,0))*(1+Constants!$B$25*Calculator!$C$28))*(1+Calculator!$C$45)*(1-(1-MIN(0.5,Constants!$B$26*Calculator!$C$28))*Constants!$B$6)</f>
        <v>4.65375</v>
      </c>
    </row>
    <row r="69" customFormat="false" ht="15" hidden="false" customHeight="false" outlineLevel="0" collapsed="false">
      <c r="A69" s="4" t="s">
        <v>2500</v>
      </c>
      <c r="B69" s="4" t="s">
        <v>59</v>
      </c>
      <c r="C69" s="4" t="s">
        <v>2447</v>
      </c>
      <c r="D69" s="4" t="s">
        <v>2427</v>
      </c>
      <c r="E69" s="4" t="s">
        <v>1154</v>
      </c>
      <c r="F69" s="4"/>
      <c r="G69" s="4" t="n">
        <v>0</v>
      </c>
      <c r="H69" s="4"/>
      <c r="I69" s="4" t="n">
        <v>0</v>
      </c>
      <c r="J69" s="4"/>
      <c r="K69" s="4"/>
      <c r="L69" s="4"/>
      <c r="M69" s="4"/>
      <c r="N69" s="4"/>
    </row>
    <row r="70" customFormat="false" ht="15" hidden="false" customHeight="false" outlineLevel="0" collapsed="false">
      <c r="A70" s="4" t="s">
        <v>2501</v>
      </c>
      <c r="B70" s="4" t="s">
        <v>59</v>
      </c>
      <c r="C70" s="4" t="s">
        <v>2426</v>
      </c>
      <c r="D70" s="4" t="s">
        <v>2427</v>
      </c>
      <c r="E70" s="4" t="s">
        <v>1244</v>
      </c>
      <c r="F70" s="4"/>
      <c r="G70" s="4" t="n">
        <v>0</v>
      </c>
      <c r="H70" s="4"/>
      <c r="I70" s="4" t="n">
        <v>0</v>
      </c>
      <c r="J70" s="4"/>
      <c r="K70" s="4"/>
      <c r="L70" s="4"/>
      <c r="M70" s="4"/>
      <c r="N70" s="4"/>
    </row>
    <row r="71" customFormat="false" ht="15" hidden="false" customHeight="false" outlineLevel="0" collapsed="false">
      <c r="A71" s="4" t="s">
        <v>2502</v>
      </c>
      <c r="B71" s="4" t="s">
        <v>59</v>
      </c>
      <c r="C71" s="4" t="s">
        <v>2422</v>
      </c>
      <c r="D71" s="4" t="s">
        <v>2427</v>
      </c>
      <c r="E71" s="4" t="s">
        <v>1079</v>
      </c>
      <c r="F71" s="4" t="s">
        <v>59</v>
      </c>
      <c r="G71" s="4" t="n">
        <v>2.75</v>
      </c>
      <c r="H71" s="4"/>
      <c r="I71" s="4" t="n">
        <v>0</v>
      </c>
      <c r="J71" s="4" t="n">
        <v>30</v>
      </c>
      <c r="K71" s="4" t="n">
        <v>33</v>
      </c>
      <c r="L71" s="4" t="n">
        <v>36</v>
      </c>
      <c r="M71" s="4" t="n">
        <v>39</v>
      </c>
      <c r="N71" s="4" t="n">
        <v>42</v>
      </c>
      <c r="O71" s="9" t="n">
        <f aca="false">MAX(1,MIN(5,1+INT(IFERROR(INDEX(Calculator!$E$6:$E$23,MATCH("FLM",Calculator!$A$6:$A$23,0)),0)/20)))</f>
        <v>1</v>
      </c>
      <c r="P71" s="24" t="n">
        <f aca="false">INDEX(J71:N71,O71)*(1+(IFERROR(G71/10*INDEX(Calculator!$E$6:$E$23,MATCH(F71,Calculator!$A$6:$A$23,0))/100,0)+IFERROR(I71/10*INDEX(Calculator!$E$6:$E$23,MATCH(H71,Calculator!$A$6:$A$23,0))/100,0))*(1+Constants!$B$25*Calculator!$C$28))*(1+Calculator!$C$45)*(1-(1-MIN(0.5,Constants!$B$26*Calculator!$C$28))*Constants!$B$6)</f>
        <v>27.9225</v>
      </c>
    </row>
    <row r="72" customFormat="false" ht="15" hidden="false" customHeight="false" outlineLevel="0" collapsed="false">
      <c r="A72" s="4" t="s">
        <v>2503</v>
      </c>
      <c r="B72" s="4" t="s">
        <v>59</v>
      </c>
      <c r="C72" s="4" t="s">
        <v>2422</v>
      </c>
      <c r="D72" s="4" t="s">
        <v>2427</v>
      </c>
      <c r="E72" s="4" t="s">
        <v>1154</v>
      </c>
      <c r="F72" s="4" t="s">
        <v>59</v>
      </c>
      <c r="G72" s="4" t="n">
        <v>2.75</v>
      </c>
      <c r="H72" s="4"/>
      <c r="I72" s="4" t="n">
        <v>0</v>
      </c>
      <c r="J72" s="4" t="n">
        <v>18</v>
      </c>
      <c r="K72" s="4" t="n">
        <v>21</v>
      </c>
      <c r="L72" s="4" t="n">
        <v>24</v>
      </c>
      <c r="M72" s="4" t="n">
        <v>27</v>
      </c>
      <c r="N72" s="4" t="n">
        <v>30</v>
      </c>
      <c r="O72" s="9" t="n">
        <f aca="false">MAX(1,MIN(5,1+INT(IFERROR(INDEX(Calculator!$E$6:$E$23,MATCH("FLM",Calculator!$A$6:$A$23,0)),0)/20)))</f>
        <v>1</v>
      </c>
      <c r="P72" s="24" t="n">
        <f aca="false">INDEX(J72:N72,O72)*(1+(IFERROR(G72/10*INDEX(Calculator!$E$6:$E$23,MATCH(F72,Calculator!$A$6:$A$23,0))/100,0)+IFERROR(I72/10*INDEX(Calculator!$E$6:$E$23,MATCH(H72,Calculator!$A$6:$A$23,0))/100,0))*(1+Constants!$B$25*Calculator!$C$28))*(1+Calculator!$C$45)*(1-(1-MIN(0.5,Constants!$B$26*Calculator!$C$28))*Constants!$B$6)</f>
        <v>16.7535</v>
      </c>
    </row>
    <row r="73" customFormat="false" ht="15" hidden="false" customHeight="false" outlineLevel="0" collapsed="false">
      <c r="A73" s="4" t="s">
        <v>2504</v>
      </c>
      <c r="B73" s="4" t="s">
        <v>2505</v>
      </c>
      <c r="C73" s="4" t="s">
        <v>2422</v>
      </c>
      <c r="D73" s="4" t="s">
        <v>2427</v>
      </c>
      <c r="E73" s="4" t="s">
        <v>2506</v>
      </c>
      <c r="F73" s="4" t="s">
        <v>55</v>
      </c>
      <c r="G73" s="4" t="n">
        <v>1.65</v>
      </c>
      <c r="H73" s="4"/>
      <c r="I73" s="4" t="n">
        <v>0</v>
      </c>
      <c r="J73" s="4" t="n">
        <v>20</v>
      </c>
      <c r="K73" s="4" t="n">
        <v>22</v>
      </c>
      <c r="L73" s="4" t="n">
        <v>24</v>
      </c>
      <c r="M73" s="4" t="n">
        <v>26</v>
      </c>
      <c r="N73" s="4" t="n">
        <v>28</v>
      </c>
      <c r="O73" s="9" t="n">
        <f aca="false">MAX(1,MIN(5,1+INT(IFERROR(INDEX(Calculator!$E$6:$E$23,MATCH("MED",Calculator!$A$6:$A$23,0)),0)/20)))</f>
        <v>5</v>
      </c>
      <c r="P73" s="24" t="n">
        <f aca="false">INDEX(J73:N73,O73)*(1+(IFERROR(G73/10*INDEX(Calculator!$E$6:$E$23,MATCH(F73,Calculator!$A$6:$A$23,0))/100,0)+IFERROR(I73/10*INDEX(Calculator!$E$6:$E$23,MATCH(H73,Calculator!$A$6:$A$23,0))/100,0))*(1+Constants!$B$25*Calculator!$C$28))*(1+Calculator!$C$45)*(1-(1-MIN(0.5,Constants!$B$26*Calculator!$C$28))*Constants!$B$6)</f>
        <v>31.045635348</v>
      </c>
    </row>
    <row r="74" customFormat="false" ht="15" hidden="false" customHeight="false" outlineLevel="0" collapsed="false">
      <c r="A74" s="4" t="s">
        <v>2507</v>
      </c>
      <c r="B74" s="4" t="s">
        <v>2508</v>
      </c>
      <c r="C74" s="4" t="s">
        <v>2422</v>
      </c>
      <c r="D74" s="4" t="s">
        <v>2427</v>
      </c>
      <c r="E74" s="4" t="s">
        <v>2509</v>
      </c>
      <c r="F74" s="4" t="s">
        <v>59</v>
      </c>
      <c r="G74" s="4" t="n">
        <v>2.75</v>
      </c>
      <c r="H74" s="4" t="s">
        <v>63</v>
      </c>
      <c r="I74" s="4" t="n">
        <v>2.75</v>
      </c>
      <c r="J74" s="4" t="n">
        <v>15</v>
      </c>
      <c r="K74" s="4" t="n">
        <v>17.5</v>
      </c>
      <c r="L74" s="4" t="n">
        <v>20</v>
      </c>
      <c r="M74" s="4" t="n">
        <v>22.5</v>
      </c>
      <c r="N74" s="4" t="n">
        <v>25</v>
      </c>
      <c r="O74" s="9" t="n">
        <f aca="false">MAX(1,MIN(5,1+INT(IFERROR(INDEX(Calculator!$E$6:$E$23,MATCH("FLM",Calculator!$A$6:$A$23,0)),0)/20)))</f>
        <v>1</v>
      </c>
      <c r="P74" s="24" t="n">
        <f aca="false">INDEX(J74:N74,O74)*(1+(IFERROR(G74/10*INDEX(Calculator!$E$6:$E$23,MATCH(F74,Calculator!$A$6:$A$23,0))/100,0)+IFERROR(I74/10*INDEX(Calculator!$E$6:$E$23,MATCH(H74,Calculator!$A$6:$A$23,0))/100,0))*(1+Constants!$B$25*Calculator!$C$28))*(1+Calculator!$C$45)*(1-(1-MIN(0.5,Constants!$B$26*Calculator!$C$28))*Constants!$B$6)</f>
        <v>15.0255160875</v>
      </c>
    </row>
    <row r="75" customFormat="false" ht="15" hidden="false" customHeight="false" outlineLevel="0" collapsed="false">
      <c r="A75" s="4" t="s">
        <v>2510</v>
      </c>
      <c r="B75" s="4" t="s">
        <v>63</v>
      </c>
      <c r="C75" s="4" t="s">
        <v>2422</v>
      </c>
      <c r="D75" s="4" t="s">
        <v>2427</v>
      </c>
      <c r="E75" s="4" t="s">
        <v>415</v>
      </c>
      <c r="F75" s="4" t="s">
        <v>63</v>
      </c>
      <c r="G75" s="4" t="n">
        <v>2.75</v>
      </c>
      <c r="H75" s="4"/>
      <c r="I75" s="4" t="n">
        <v>0</v>
      </c>
      <c r="J75" s="4" t="n">
        <v>15</v>
      </c>
      <c r="K75" s="4" t="n">
        <v>19.5</v>
      </c>
      <c r="L75" s="4" t="n">
        <v>24</v>
      </c>
      <c r="M75" s="4" t="n">
        <v>28.5</v>
      </c>
      <c r="N75" s="4" t="n">
        <v>33</v>
      </c>
      <c r="O75" s="9" t="n">
        <f aca="false">MAX(1,MIN(5,1+INT(IFERROR(INDEX(Calculator!$E$6:$E$23,MATCH("LTN",Calculator!$A$6:$A$23,0)),0)/20)))</f>
        <v>2</v>
      </c>
      <c r="P75" s="24" t="n">
        <f aca="false">INDEX(J75:N75,O75)*(1+(IFERROR(G75/10*INDEX(Calculator!$E$6:$E$23,MATCH(F75,Calculator!$A$6:$A$23,0))/100,0)+IFERROR(I75/10*INDEX(Calculator!$E$6:$E$23,MATCH(H75,Calculator!$A$6:$A$23,0))/100,0))*(1+Constants!$B$25*Calculator!$C$28))*(1+Calculator!$C$45)*(1-(1-MIN(0.5,Constants!$B$26*Calculator!$C$28))*Constants!$B$6)</f>
        <v>19.53317091375</v>
      </c>
    </row>
    <row r="76" customFormat="false" ht="15" hidden="false" customHeight="false" outlineLevel="0" collapsed="false">
      <c r="A76" s="4" t="s">
        <v>2511</v>
      </c>
      <c r="B76" s="4" t="s">
        <v>61</v>
      </c>
      <c r="C76" s="4" t="s">
        <v>2422</v>
      </c>
      <c r="D76" s="4" t="s">
        <v>2427</v>
      </c>
      <c r="E76" s="4" t="s">
        <v>804</v>
      </c>
      <c r="F76" s="4" t="s">
        <v>61</v>
      </c>
      <c r="G76" s="4" t="n">
        <v>2.75</v>
      </c>
      <c r="H76" s="4"/>
      <c r="I76" s="4" t="n">
        <v>0</v>
      </c>
      <c r="J76" s="4" t="n">
        <v>12</v>
      </c>
      <c r="K76" s="4" t="n">
        <v>14.4</v>
      </c>
      <c r="L76" s="4" t="n">
        <v>16.8</v>
      </c>
      <c r="M76" s="4" t="n">
        <v>19.2</v>
      </c>
      <c r="N76" s="4" t="n">
        <v>21.6</v>
      </c>
      <c r="O76" s="9" t="n">
        <f aca="false">MAX(1,MIN(5,1+INT(IFERROR(INDEX(Calculator!$E$6:$E$23,MATCH("ICE",Calculator!$A$6:$A$23,0)),0)/20)))</f>
        <v>1</v>
      </c>
      <c r="P76" s="24" t="n">
        <f aca="false">INDEX(J76:N76,O76)*(1+(IFERROR(G76/10*INDEX(Calculator!$E$6:$E$23,MATCH(F76,Calculator!$A$6:$A$23,0))/100,0)+IFERROR(I76/10*INDEX(Calculator!$E$6:$E$23,MATCH(H76,Calculator!$A$6:$A$23,0))/100,0))*(1+Constants!$B$25*Calculator!$C$28))*(1+Calculator!$C$45)*(1-(1-MIN(0.5,Constants!$B$26*Calculator!$C$28))*Constants!$B$6)</f>
        <v>11.169</v>
      </c>
    </row>
    <row r="77" customFormat="false" ht="15" hidden="false" customHeight="false" outlineLevel="0" collapsed="false">
      <c r="A77" s="4" t="s">
        <v>2512</v>
      </c>
      <c r="B77" s="4" t="s">
        <v>61</v>
      </c>
      <c r="C77" s="4" t="s">
        <v>2447</v>
      </c>
      <c r="D77" s="4" t="s">
        <v>2427</v>
      </c>
      <c r="E77" s="4" t="s">
        <v>804</v>
      </c>
      <c r="F77" s="4"/>
      <c r="G77" s="4" t="n">
        <v>0</v>
      </c>
      <c r="H77" s="4"/>
      <c r="I77" s="4" t="n">
        <v>0</v>
      </c>
      <c r="J77" s="4"/>
      <c r="K77" s="4"/>
      <c r="L77" s="4"/>
      <c r="M77" s="4"/>
      <c r="N77" s="4"/>
    </row>
    <row r="78" customFormat="false" ht="15" hidden="false" customHeight="false" outlineLevel="0" collapsed="false">
      <c r="A78" s="4" t="s">
        <v>2513</v>
      </c>
      <c r="B78" s="4" t="s">
        <v>61</v>
      </c>
      <c r="C78" s="4" t="s">
        <v>2422</v>
      </c>
      <c r="D78" s="4" t="s">
        <v>2427</v>
      </c>
      <c r="E78" s="4" t="s">
        <v>1304</v>
      </c>
      <c r="F78" s="4" t="s">
        <v>61</v>
      </c>
      <c r="G78" s="4" t="n">
        <v>2.75</v>
      </c>
      <c r="H78" s="4"/>
      <c r="I78" s="4" t="n">
        <v>0</v>
      </c>
      <c r="J78" s="4" t="n">
        <v>12</v>
      </c>
      <c r="K78" s="4" t="n">
        <v>16</v>
      </c>
      <c r="L78" s="4" t="n">
        <v>20</v>
      </c>
      <c r="M78" s="4" t="n">
        <v>24</v>
      </c>
      <c r="N78" s="4" t="n">
        <v>28</v>
      </c>
      <c r="O78" s="9" t="n">
        <f aca="false">MAX(1,MIN(5,1+INT(IFERROR(INDEX(Calculator!$E$6:$E$23,MATCH("ICE",Calculator!$A$6:$A$23,0)),0)/20)))</f>
        <v>1</v>
      </c>
      <c r="P78" s="24" t="n">
        <f aca="false">INDEX(J78:N78,O78)*(1+(IFERROR(G78/10*INDEX(Calculator!$E$6:$E$23,MATCH(F78,Calculator!$A$6:$A$23,0))/100,0)+IFERROR(I78/10*INDEX(Calculator!$E$6:$E$23,MATCH(H78,Calculator!$A$6:$A$23,0))/100,0))*(1+Constants!$B$25*Calculator!$C$28))*(1+Calculator!$C$45)*(1-(1-MIN(0.5,Constants!$B$26*Calculator!$C$28))*Constants!$B$6)</f>
        <v>11.169</v>
      </c>
    </row>
    <row r="79" customFormat="false" ht="15" hidden="false" customHeight="false" outlineLevel="0" collapsed="false">
      <c r="A79" s="4" t="s">
        <v>2514</v>
      </c>
      <c r="B79" s="4" t="s">
        <v>65</v>
      </c>
      <c r="C79" s="4" t="s">
        <v>2422</v>
      </c>
      <c r="D79" s="4" t="s">
        <v>2427</v>
      </c>
      <c r="E79" s="4" t="s">
        <v>400</v>
      </c>
      <c r="F79" s="4" t="s">
        <v>65</v>
      </c>
      <c r="G79" s="4" t="n">
        <v>2.75</v>
      </c>
      <c r="H79" s="4"/>
      <c r="I79" s="4" t="n">
        <v>0</v>
      </c>
      <c r="J79" s="4" t="n">
        <v>12.5</v>
      </c>
      <c r="K79" s="4" t="n">
        <v>13.75</v>
      </c>
      <c r="L79" s="4" t="n">
        <v>15</v>
      </c>
      <c r="M79" s="4" t="n">
        <v>16.25</v>
      </c>
      <c r="N79" s="4" t="n">
        <v>17.5</v>
      </c>
      <c r="O79" s="9" t="n">
        <f aca="false">MAX(1,MIN(5,1+INT(IFERROR(INDEX(Calculator!$E$6:$E$23,MATCH("WND",Calculator!$A$6:$A$23,0)),0)/20)))</f>
        <v>1</v>
      </c>
      <c r="P79" s="24" t="n">
        <f aca="false">INDEX(J79:N79,O79)*(1+(IFERROR(G79/10*INDEX(Calculator!$E$6:$E$23,MATCH(F79,Calculator!$A$6:$A$23,0))/100,0)+IFERROR(I79/10*INDEX(Calculator!$E$6:$E$23,MATCH(H79,Calculator!$A$6:$A$23,0))/100,0))*(1+Constants!$B$25*Calculator!$C$28))*(1+Calculator!$C$45)*(1-(1-MIN(0.5,Constants!$B$26*Calculator!$C$28))*Constants!$B$6)</f>
        <v>11.634375</v>
      </c>
    </row>
    <row r="80" customFormat="false" ht="15" hidden="false" customHeight="false" outlineLevel="0" collapsed="false">
      <c r="A80" s="4" t="s">
        <v>2515</v>
      </c>
      <c r="B80" s="4" t="s">
        <v>65</v>
      </c>
      <c r="C80" s="4" t="s">
        <v>2422</v>
      </c>
      <c r="D80" s="4" t="s">
        <v>2427</v>
      </c>
      <c r="E80" s="4" t="s">
        <v>400</v>
      </c>
      <c r="F80" s="4" t="s">
        <v>65</v>
      </c>
      <c r="G80" s="4" t="n">
        <v>2.75</v>
      </c>
      <c r="H80" s="4"/>
      <c r="I80" s="4" t="n">
        <v>0</v>
      </c>
      <c r="J80" s="4" t="n">
        <v>37.5</v>
      </c>
      <c r="K80" s="4" t="n">
        <v>41.25</v>
      </c>
      <c r="L80" s="4" t="n">
        <v>45</v>
      </c>
      <c r="M80" s="4" t="n">
        <v>48.75</v>
      </c>
      <c r="N80" s="4" t="n">
        <v>52.5</v>
      </c>
      <c r="O80" s="9" t="n">
        <f aca="false">MAX(1,MIN(5,1+INT(IFERROR(INDEX(Calculator!$E$6:$E$23,MATCH("WND",Calculator!$A$6:$A$23,0)),0)/20)))</f>
        <v>1</v>
      </c>
      <c r="P80" s="24" t="n">
        <f aca="false">INDEX(J80:N80,O80)*(1+(IFERROR(G80/10*INDEX(Calculator!$E$6:$E$23,MATCH(F80,Calculator!$A$6:$A$23,0))/100,0)+IFERROR(I80/10*INDEX(Calculator!$E$6:$E$23,MATCH(H80,Calculator!$A$6:$A$23,0))/100,0))*(1+Constants!$B$25*Calculator!$C$28))*(1+Calculator!$C$45)*(1-(1-MIN(0.5,Constants!$B$26*Calculator!$C$28))*Constants!$B$6)</f>
        <v>34.903125</v>
      </c>
    </row>
    <row r="81" customFormat="false" ht="15" hidden="false" customHeight="false" outlineLevel="0" collapsed="false">
      <c r="A81" s="4" t="s">
        <v>2516</v>
      </c>
      <c r="B81" s="4" t="s">
        <v>65</v>
      </c>
      <c r="C81" s="4" t="s">
        <v>2447</v>
      </c>
      <c r="D81" s="4" t="s">
        <v>2427</v>
      </c>
      <c r="E81" s="4" t="s">
        <v>696</v>
      </c>
      <c r="F81" s="4"/>
      <c r="G81" s="4" t="n">
        <v>0</v>
      </c>
      <c r="H81" s="4"/>
      <c r="I81" s="4" t="n">
        <v>0</v>
      </c>
      <c r="J81" s="4"/>
      <c r="K81" s="4"/>
      <c r="L81" s="4"/>
      <c r="M81" s="4"/>
      <c r="N81" s="4"/>
    </row>
    <row r="82" customFormat="false" ht="15" hidden="false" customHeight="false" outlineLevel="0" collapsed="false">
      <c r="A82" s="4" t="s">
        <v>2517</v>
      </c>
      <c r="B82" s="4" t="s">
        <v>65</v>
      </c>
      <c r="C82" s="4" t="s">
        <v>2422</v>
      </c>
      <c r="D82" s="4" t="s">
        <v>2427</v>
      </c>
      <c r="E82" s="4" t="s">
        <v>400</v>
      </c>
      <c r="F82" s="4" t="s">
        <v>65</v>
      </c>
      <c r="G82" s="4" t="n">
        <v>2.75</v>
      </c>
      <c r="H82" s="4"/>
      <c r="I82" s="4" t="n">
        <v>0</v>
      </c>
      <c r="J82" s="4" t="n">
        <v>31.5</v>
      </c>
      <c r="K82" s="4" t="n">
        <v>32.38</v>
      </c>
      <c r="L82" s="4" t="n">
        <v>33.25</v>
      </c>
      <c r="M82" s="4" t="n">
        <v>34.13</v>
      </c>
      <c r="N82" s="4" t="n">
        <v>35</v>
      </c>
      <c r="O82" s="9" t="n">
        <f aca="false">MAX(1,MIN(5,1+INT(IFERROR(INDEX(Calculator!$E$6:$E$23,MATCH("WND",Calculator!$A$6:$A$23,0)),0)/20)))</f>
        <v>1</v>
      </c>
      <c r="P82" s="24" t="n">
        <f aca="false">INDEX(J82:N82,O82)*(1+(IFERROR(G82/10*INDEX(Calculator!$E$6:$E$23,MATCH(F82,Calculator!$A$6:$A$23,0))/100,0)+IFERROR(I82/10*INDEX(Calculator!$E$6:$E$23,MATCH(H82,Calculator!$A$6:$A$23,0))/100,0))*(1+Constants!$B$25*Calculator!$C$28))*(1+Calculator!$C$45)*(1-(1-MIN(0.5,Constants!$B$26*Calculator!$C$28))*Constants!$B$6)</f>
        <v>29.318625</v>
      </c>
    </row>
    <row r="83" customFormat="false" ht="15" hidden="false" customHeight="false" outlineLevel="0" collapsed="false">
      <c r="A83" s="4" t="s">
        <v>2518</v>
      </c>
      <c r="B83" s="4" t="s">
        <v>49</v>
      </c>
      <c r="C83" s="4" t="s">
        <v>2426</v>
      </c>
      <c r="D83" s="4" t="s">
        <v>2427</v>
      </c>
      <c r="E83" s="4" t="s">
        <v>2313</v>
      </c>
      <c r="F83" s="4"/>
      <c r="G83" s="4" t="n">
        <v>0</v>
      </c>
      <c r="H83" s="4"/>
      <c r="I83" s="4" t="n">
        <v>0</v>
      </c>
      <c r="J83" s="4"/>
      <c r="K83" s="4"/>
      <c r="L83" s="4"/>
      <c r="M83" s="4"/>
      <c r="N83" s="4"/>
    </row>
    <row r="84" customFormat="false" ht="15" hidden="false" customHeight="false" outlineLevel="0" collapsed="false">
      <c r="A84" s="4" t="s">
        <v>2519</v>
      </c>
      <c r="B84" s="4" t="s">
        <v>61</v>
      </c>
      <c r="C84" s="4" t="s">
        <v>2429</v>
      </c>
      <c r="D84" s="4" t="s">
        <v>2427</v>
      </c>
      <c r="E84" s="4" t="s">
        <v>395</v>
      </c>
      <c r="F84" s="4" t="s">
        <v>61</v>
      </c>
      <c r="G84" s="4" t="n">
        <v>2.75</v>
      </c>
      <c r="H84" s="4"/>
      <c r="I84" s="4" t="n">
        <v>0</v>
      </c>
      <c r="J84" s="4" t="n">
        <v>37</v>
      </c>
      <c r="K84" s="4" t="n">
        <v>42.2</v>
      </c>
      <c r="L84" s="4" t="n">
        <v>47.4</v>
      </c>
      <c r="M84" s="4" t="n">
        <v>52.6</v>
      </c>
      <c r="N84" s="4" t="n">
        <v>57.8</v>
      </c>
      <c r="O84" s="9" t="n">
        <f aca="false">MAX(1,MIN(5,1+INT(IFERROR(INDEX(Calculator!$E$6:$E$23,MATCH("ICE",Calculator!$A$6:$A$23,0)),0)/20)))</f>
        <v>1</v>
      </c>
      <c r="P84" s="24" t="n">
        <f aca="false">INDEX(J84:N84,O84)*(1+(IFERROR(G84/10*INDEX(Calculator!$E$6:$E$23,MATCH(F84,Calculator!$A$6:$A$23,0))/100,0)+IFERROR(I84/10*INDEX(Calculator!$E$6:$E$23,MATCH(H84,Calculator!$A$6:$A$23,0))/100,0))*(1+Constants!$B$25*Calculator!$C$28))*(1+Calculator!$C$45)*(1-(1-MIN(0.5,Constants!$B$26*Calculator!$C$28))*Constants!$B$6)</f>
        <v>34.43775</v>
      </c>
    </row>
    <row r="85" customFormat="false" ht="15" hidden="false" customHeight="false" outlineLevel="0" collapsed="false">
      <c r="A85" s="4" t="s">
        <v>2520</v>
      </c>
      <c r="B85" s="4" t="s">
        <v>2521</v>
      </c>
      <c r="C85" s="4" t="s">
        <v>2426</v>
      </c>
      <c r="D85" s="4" t="s">
        <v>2427</v>
      </c>
      <c r="E85" s="4" t="s">
        <v>2522</v>
      </c>
      <c r="F85" s="4"/>
      <c r="G85" s="4" t="n">
        <v>0</v>
      </c>
      <c r="H85" s="4"/>
      <c r="I85" s="4" t="n">
        <v>0</v>
      </c>
      <c r="J85" s="4"/>
      <c r="K85" s="4"/>
      <c r="L85" s="4"/>
      <c r="M85" s="4"/>
      <c r="N85" s="4"/>
    </row>
    <row r="86" customFormat="false" ht="15" hidden="false" customHeight="false" outlineLevel="0" collapsed="false">
      <c r="A86" s="4" t="s">
        <v>2523</v>
      </c>
      <c r="B86" s="4" t="s">
        <v>59</v>
      </c>
      <c r="C86" s="4" t="s">
        <v>2426</v>
      </c>
      <c r="D86" s="4" t="s">
        <v>2427</v>
      </c>
      <c r="E86" s="4" t="s">
        <v>390</v>
      </c>
      <c r="F86" s="4"/>
      <c r="G86" s="4" t="n">
        <v>0</v>
      </c>
      <c r="H86" s="4"/>
      <c r="I86" s="4" t="n">
        <v>0</v>
      </c>
      <c r="J86" s="4"/>
      <c r="K86" s="4"/>
      <c r="L86" s="4"/>
      <c r="M86" s="4"/>
      <c r="N86" s="4"/>
    </row>
    <row r="87" customFormat="false" ht="15" hidden="false" customHeight="false" outlineLevel="0" collapsed="false">
      <c r="A87" s="4" t="s">
        <v>2524</v>
      </c>
      <c r="B87" s="4" t="s">
        <v>63</v>
      </c>
      <c r="C87" s="4" t="s">
        <v>2422</v>
      </c>
      <c r="D87" s="4" t="s">
        <v>2427</v>
      </c>
      <c r="E87" s="4" t="s">
        <v>1172</v>
      </c>
      <c r="F87" s="4" t="s">
        <v>63</v>
      </c>
      <c r="G87" s="4" t="n">
        <v>2.75</v>
      </c>
      <c r="H87" s="4"/>
      <c r="I87" s="4" t="n">
        <v>0</v>
      </c>
      <c r="J87" s="4" t="n">
        <v>10.2</v>
      </c>
      <c r="K87" s="4" t="n">
        <v>18.7</v>
      </c>
      <c r="L87" s="4" t="n">
        <v>27.2</v>
      </c>
      <c r="M87" s="4" t="n">
        <v>35.7</v>
      </c>
      <c r="N87" s="4" t="n">
        <v>44.2</v>
      </c>
      <c r="O87" s="9" t="n">
        <f aca="false">MAX(1,MIN(5,1+INT(IFERROR(INDEX(Calculator!$E$6:$E$23,MATCH("LTN",Calculator!$A$6:$A$23,0)),0)/20)))</f>
        <v>2</v>
      </c>
      <c r="P87" s="24" t="n">
        <f aca="false">INDEX(J87:N87,O87)*(1+(IFERROR(G87/10*INDEX(Calculator!$E$6:$E$23,MATCH(F87,Calculator!$A$6:$A$23,0))/100,0)+IFERROR(I87/10*INDEX(Calculator!$E$6:$E$23,MATCH(H87,Calculator!$A$6:$A$23,0))/100,0))*(1+Constants!$B$25*Calculator!$C$28))*(1+Calculator!$C$45)*(1-(1-MIN(0.5,Constants!$B$26*Calculator!$C$28))*Constants!$B$6)</f>
        <v>18.73181005575</v>
      </c>
    </row>
    <row r="88" customFormat="false" ht="15" hidden="false" customHeight="false" outlineLevel="0" collapsed="false">
      <c r="A88" s="4" t="s">
        <v>2525</v>
      </c>
      <c r="B88" s="4" t="s">
        <v>65</v>
      </c>
      <c r="C88" s="4" t="s">
        <v>2422</v>
      </c>
      <c r="D88" s="4" t="s">
        <v>2427</v>
      </c>
      <c r="E88" s="4" t="s">
        <v>400</v>
      </c>
      <c r="F88" s="4" t="s">
        <v>65</v>
      </c>
      <c r="G88" s="4" t="n">
        <v>2.75</v>
      </c>
      <c r="H88" s="4"/>
      <c r="I88" s="4" t="n">
        <v>0</v>
      </c>
      <c r="J88" s="4" t="n">
        <v>15</v>
      </c>
      <c r="K88" s="4" t="n">
        <v>22</v>
      </c>
      <c r="L88" s="4" t="n">
        <v>29</v>
      </c>
      <c r="M88" s="4" t="n">
        <v>36</v>
      </c>
      <c r="N88" s="4" t="n">
        <v>43</v>
      </c>
      <c r="O88" s="9" t="n">
        <f aca="false">MAX(1,MIN(5,1+INT(IFERROR(INDEX(Calculator!$E$6:$E$23,MATCH("WND",Calculator!$A$6:$A$23,0)),0)/20)))</f>
        <v>1</v>
      </c>
      <c r="P88" s="24" t="n">
        <f aca="false">INDEX(J88:N88,O88)*(1+(IFERROR(G88/10*INDEX(Calculator!$E$6:$E$23,MATCH(F88,Calculator!$A$6:$A$23,0))/100,0)+IFERROR(I88/10*INDEX(Calculator!$E$6:$E$23,MATCH(H88,Calculator!$A$6:$A$23,0))/100,0))*(1+Constants!$B$25*Calculator!$C$28))*(1+Calculator!$C$45)*(1-(1-MIN(0.5,Constants!$B$26*Calculator!$C$28))*Constants!$B$6)</f>
        <v>13.96125</v>
      </c>
    </row>
    <row r="89" customFormat="false" ht="15" hidden="false" customHeight="false" outlineLevel="0" collapsed="false">
      <c r="A89" s="4" t="s">
        <v>2526</v>
      </c>
      <c r="B89" s="4" t="s">
        <v>61</v>
      </c>
      <c r="C89" s="4" t="s">
        <v>2422</v>
      </c>
      <c r="D89" s="4" t="s">
        <v>2427</v>
      </c>
      <c r="E89" s="4" t="s">
        <v>1304</v>
      </c>
      <c r="F89" s="4" t="s">
        <v>61</v>
      </c>
      <c r="G89" s="4" t="n">
        <v>2.75</v>
      </c>
      <c r="H89" s="4"/>
      <c r="I89" s="4" t="n">
        <v>0</v>
      </c>
      <c r="J89" s="4" t="n">
        <v>28</v>
      </c>
      <c r="K89" s="4" t="n">
        <v>29.2</v>
      </c>
      <c r="L89" s="4" t="n">
        <v>30.4</v>
      </c>
      <c r="M89" s="4" t="n">
        <v>31.6</v>
      </c>
      <c r="N89" s="4" t="n">
        <v>32.8</v>
      </c>
      <c r="O89" s="9" t="n">
        <f aca="false">MAX(1,MIN(5,1+INT(IFERROR(INDEX(Calculator!$E$6:$E$23,MATCH("ICE",Calculator!$A$6:$A$23,0)),0)/20)))</f>
        <v>1</v>
      </c>
      <c r="P89" s="24" t="n">
        <f aca="false">INDEX(J89:N89,O89)*(1+(IFERROR(G89/10*INDEX(Calculator!$E$6:$E$23,MATCH(F89,Calculator!$A$6:$A$23,0))/100,0)+IFERROR(I89/10*INDEX(Calculator!$E$6:$E$23,MATCH(H89,Calculator!$A$6:$A$23,0))/100,0))*(1+Constants!$B$25*Calculator!$C$28))*(1+Calculator!$C$45)*(1-(1-MIN(0.5,Constants!$B$26*Calculator!$C$28))*Constants!$B$6)</f>
        <v>26.061</v>
      </c>
    </row>
    <row r="90" customFormat="false" ht="15" hidden="false" customHeight="false" outlineLevel="0" collapsed="false">
      <c r="A90" s="4" t="s">
        <v>2527</v>
      </c>
      <c r="B90" s="4" t="s">
        <v>61</v>
      </c>
      <c r="C90" s="4" t="s">
        <v>2422</v>
      </c>
      <c r="D90" s="4" t="s">
        <v>2427</v>
      </c>
      <c r="E90" s="4" t="s">
        <v>395</v>
      </c>
      <c r="F90" s="4" t="s">
        <v>61</v>
      </c>
      <c r="G90" s="4" t="n">
        <v>2.75</v>
      </c>
      <c r="H90" s="4"/>
      <c r="I90" s="4" t="n">
        <v>0</v>
      </c>
      <c r="J90" s="4" t="n">
        <v>28.7</v>
      </c>
      <c r="K90" s="4" t="n">
        <v>37.4</v>
      </c>
      <c r="L90" s="4" t="n">
        <v>46.1</v>
      </c>
      <c r="M90" s="4" t="n">
        <v>54.8</v>
      </c>
      <c r="N90" s="4" t="n">
        <v>63.5</v>
      </c>
      <c r="O90" s="9" t="n">
        <f aca="false">MAX(1,MIN(5,1+INT(IFERROR(INDEX(Calculator!$E$6:$E$23,MATCH("ICE",Calculator!$A$6:$A$23,0)),0)/20)))</f>
        <v>1</v>
      </c>
      <c r="P90" s="24" t="n">
        <f aca="false">INDEX(J90:N90,O90)*(1+(IFERROR(G90/10*INDEX(Calculator!$E$6:$E$23,MATCH(F90,Calculator!$A$6:$A$23,0))/100,0)+IFERROR(I90/10*INDEX(Calculator!$E$6:$E$23,MATCH(H90,Calculator!$A$6:$A$23,0))/100,0))*(1+Constants!$B$25*Calculator!$C$28))*(1+Calculator!$C$45)*(1-(1-MIN(0.5,Constants!$B$26*Calculator!$C$28))*Constants!$B$6)</f>
        <v>26.712525</v>
      </c>
    </row>
    <row r="91" customFormat="false" ht="15" hidden="false" customHeight="false" outlineLevel="0" collapsed="false">
      <c r="A91" s="4" t="s">
        <v>2528</v>
      </c>
      <c r="B91" s="4" t="s">
        <v>61</v>
      </c>
      <c r="C91" s="4" t="s">
        <v>2422</v>
      </c>
      <c r="D91" s="4" t="s">
        <v>2427</v>
      </c>
      <c r="E91" s="4" t="s">
        <v>804</v>
      </c>
      <c r="F91" s="4" t="s">
        <v>61</v>
      </c>
      <c r="G91" s="4" t="n">
        <v>2.75</v>
      </c>
      <c r="H91" s="4"/>
      <c r="I91" s="4" t="n">
        <v>0</v>
      </c>
      <c r="J91" s="4" t="n">
        <v>45</v>
      </c>
      <c r="K91" s="4" t="n">
        <v>49.5</v>
      </c>
      <c r="L91" s="4" t="n">
        <v>54</v>
      </c>
      <c r="M91" s="4" t="n">
        <v>58.5</v>
      </c>
      <c r="N91" s="4" t="n">
        <v>63</v>
      </c>
      <c r="O91" s="9" t="n">
        <f aca="false">MAX(1,MIN(5,1+INT(IFERROR(INDEX(Calculator!$E$6:$E$23,MATCH("ICE",Calculator!$A$6:$A$23,0)),0)/20)))</f>
        <v>1</v>
      </c>
      <c r="P91" s="24" t="n">
        <f aca="false">INDEX(J91:N91,O91)*(1+(IFERROR(G91/10*INDEX(Calculator!$E$6:$E$23,MATCH(F91,Calculator!$A$6:$A$23,0))/100,0)+IFERROR(I91/10*INDEX(Calculator!$E$6:$E$23,MATCH(H91,Calculator!$A$6:$A$23,0))/100,0))*(1+Constants!$B$25*Calculator!$C$28))*(1+Calculator!$C$45)*(1-(1-MIN(0.5,Constants!$B$26*Calculator!$C$28))*Constants!$B$6)</f>
        <v>41.88375</v>
      </c>
    </row>
    <row r="92" customFormat="false" ht="15" hidden="false" customHeight="false" outlineLevel="0" collapsed="false">
      <c r="A92" s="4" t="s">
        <v>2529</v>
      </c>
      <c r="B92" s="4" t="s">
        <v>61</v>
      </c>
      <c r="C92" s="4" t="s">
        <v>2422</v>
      </c>
      <c r="D92" s="4" t="s">
        <v>2427</v>
      </c>
      <c r="E92" s="4" t="s">
        <v>395</v>
      </c>
      <c r="F92" s="4" t="s">
        <v>61</v>
      </c>
      <c r="G92" s="4" t="n">
        <v>2.75</v>
      </c>
      <c r="H92" s="4"/>
      <c r="I92" s="4" t="n">
        <v>0</v>
      </c>
      <c r="J92" s="4" t="n">
        <v>20</v>
      </c>
      <c r="K92" s="4" t="n">
        <v>22.5</v>
      </c>
      <c r="L92" s="4" t="n">
        <v>25</v>
      </c>
      <c r="M92" s="4" t="n">
        <v>27.5</v>
      </c>
      <c r="N92" s="4" t="n">
        <v>30</v>
      </c>
      <c r="O92" s="9" t="n">
        <f aca="false">MAX(1,MIN(5,1+INT(IFERROR(INDEX(Calculator!$E$6:$E$23,MATCH("ICE",Calculator!$A$6:$A$23,0)),0)/20)))</f>
        <v>1</v>
      </c>
      <c r="P92" s="24" t="n">
        <f aca="false">INDEX(J92:N92,O92)*(1+(IFERROR(G92/10*INDEX(Calculator!$E$6:$E$23,MATCH(F92,Calculator!$A$6:$A$23,0))/100,0)+IFERROR(I92/10*INDEX(Calculator!$E$6:$E$23,MATCH(H92,Calculator!$A$6:$A$23,0))/100,0))*(1+Constants!$B$25*Calculator!$C$28))*(1+Calculator!$C$45)*(1-(1-MIN(0.5,Constants!$B$26*Calculator!$C$28))*Constants!$B$6)</f>
        <v>18.615</v>
      </c>
    </row>
    <row r="93" customFormat="false" ht="15" hidden="false" customHeight="false" outlineLevel="0" collapsed="false">
      <c r="A93" s="4" t="s">
        <v>2530</v>
      </c>
      <c r="B93" s="4" t="s">
        <v>61</v>
      </c>
      <c r="C93" s="4" t="s">
        <v>2422</v>
      </c>
      <c r="D93" s="4" t="s">
        <v>2427</v>
      </c>
      <c r="E93" s="4" t="s">
        <v>1687</v>
      </c>
      <c r="F93" s="4" t="s">
        <v>61</v>
      </c>
      <c r="G93" s="4" t="n">
        <v>2.75</v>
      </c>
      <c r="H93" s="4"/>
      <c r="I93" s="4" t="n">
        <v>0</v>
      </c>
      <c r="J93" s="4" t="n">
        <v>24</v>
      </c>
      <c r="K93" s="4" t="n">
        <v>30</v>
      </c>
      <c r="L93" s="4" t="n">
        <v>36</v>
      </c>
      <c r="M93" s="4" t="n">
        <v>42</v>
      </c>
      <c r="N93" s="4" t="n">
        <v>48</v>
      </c>
      <c r="O93" s="9" t="n">
        <f aca="false">MAX(1,MIN(5,1+INT(IFERROR(INDEX(Calculator!$E$6:$E$23,MATCH("ICE",Calculator!$A$6:$A$23,0)),0)/20)))</f>
        <v>1</v>
      </c>
      <c r="P93" s="24" t="n">
        <f aca="false">INDEX(J93:N93,O93)*(1+(IFERROR(G93/10*INDEX(Calculator!$E$6:$E$23,MATCH(F93,Calculator!$A$6:$A$23,0))/100,0)+IFERROR(I93/10*INDEX(Calculator!$E$6:$E$23,MATCH(H93,Calculator!$A$6:$A$23,0))/100,0))*(1+Constants!$B$25*Calculator!$C$28))*(1+Calculator!$C$45)*(1-(1-MIN(0.5,Constants!$B$26*Calculator!$C$28))*Constants!$B$6)</f>
        <v>22.338</v>
      </c>
    </row>
    <row r="94" customFormat="false" ht="15" hidden="false" customHeight="false" outlineLevel="0" collapsed="false">
      <c r="A94" s="4" t="s">
        <v>2531</v>
      </c>
      <c r="B94" s="4" t="s">
        <v>61</v>
      </c>
      <c r="C94" s="4" t="s">
        <v>2422</v>
      </c>
      <c r="D94" s="4" t="s">
        <v>2427</v>
      </c>
      <c r="E94" s="4" t="s">
        <v>395</v>
      </c>
      <c r="F94" s="4" t="s">
        <v>61</v>
      </c>
      <c r="G94" s="4" t="n">
        <v>2.75</v>
      </c>
      <c r="H94" s="4"/>
      <c r="I94" s="4" t="n">
        <v>0</v>
      </c>
      <c r="J94" s="4" t="n">
        <v>15</v>
      </c>
      <c r="K94" s="4" t="n">
        <v>18</v>
      </c>
      <c r="L94" s="4" t="n">
        <v>21</v>
      </c>
      <c r="M94" s="4" t="n">
        <v>24</v>
      </c>
      <c r="N94" s="4" t="n">
        <v>27</v>
      </c>
      <c r="O94" s="9" t="n">
        <f aca="false">MAX(1,MIN(5,1+INT(IFERROR(INDEX(Calculator!$E$6:$E$23,MATCH("ICE",Calculator!$A$6:$A$23,0)),0)/20)))</f>
        <v>1</v>
      </c>
      <c r="P94" s="24" t="n">
        <f aca="false">INDEX(J94:N94,O94)*(1+(IFERROR(G94/10*INDEX(Calculator!$E$6:$E$23,MATCH(F94,Calculator!$A$6:$A$23,0))/100,0)+IFERROR(I94/10*INDEX(Calculator!$E$6:$E$23,MATCH(H94,Calculator!$A$6:$A$23,0))/100,0))*(1+Constants!$B$25*Calculator!$C$28))*(1+Calculator!$C$45)*(1-(1-MIN(0.5,Constants!$B$26*Calculator!$C$28))*Constants!$B$6)</f>
        <v>13.96125</v>
      </c>
    </row>
    <row r="95" customFormat="false" ht="15" hidden="false" customHeight="false" outlineLevel="0" collapsed="false">
      <c r="A95" s="4" t="s">
        <v>2532</v>
      </c>
      <c r="B95" s="4" t="s">
        <v>61</v>
      </c>
      <c r="C95" s="4" t="s">
        <v>2422</v>
      </c>
      <c r="D95" s="4" t="s">
        <v>2427</v>
      </c>
      <c r="E95" s="4" t="s">
        <v>395</v>
      </c>
      <c r="F95" s="4" t="s">
        <v>61</v>
      </c>
      <c r="G95" s="4" t="n">
        <v>2.75</v>
      </c>
      <c r="H95" s="4"/>
      <c r="I95" s="4" t="n">
        <v>0</v>
      </c>
      <c r="J95" s="4" t="n">
        <v>25</v>
      </c>
      <c r="K95" s="4" t="n">
        <v>25</v>
      </c>
      <c r="L95" s="4" t="n">
        <v>25</v>
      </c>
      <c r="M95" s="4" t="n">
        <v>25</v>
      </c>
      <c r="N95" s="4" t="n">
        <v>25</v>
      </c>
      <c r="O95" s="9" t="n">
        <f aca="false">MAX(1,MIN(5,1+INT(IFERROR(INDEX(Calculator!$E$6:$E$23,MATCH("ICE",Calculator!$A$6:$A$23,0)),0)/20)))</f>
        <v>1</v>
      </c>
      <c r="P95" s="24" t="n">
        <f aca="false">INDEX(J95:N95,O95)*(1+(IFERROR(G95/10*INDEX(Calculator!$E$6:$E$23,MATCH(F95,Calculator!$A$6:$A$23,0))/100,0)+IFERROR(I95/10*INDEX(Calculator!$E$6:$E$23,MATCH(H95,Calculator!$A$6:$A$23,0))/100,0))*(1+Constants!$B$25*Calculator!$C$28))*(1+Calculator!$C$45)*(1-(1-MIN(0.5,Constants!$B$26*Calculator!$C$28))*Constants!$B$6)</f>
        <v>23.26875</v>
      </c>
    </row>
    <row r="96" customFormat="false" ht="15" hidden="false" customHeight="false" outlineLevel="0" collapsed="false">
      <c r="A96" s="4" t="s">
        <v>2533</v>
      </c>
      <c r="B96" s="4" t="s">
        <v>61</v>
      </c>
      <c r="C96" s="4" t="s">
        <v>2422</v>
      </c>
      <c r="D96" s="4" t="s">
        <v>2427</v>
      </c>
      <c r="E96" s="4" t="s">
        <v>1687</v>
      </c>
      <c r="F96" s="4" t="s">
        <v>61</v>
      </c>
      <c r="G96" s="4" t="n">
        <v>2.75</v>
      </c>
      <c r="H96" s="4"/>
      <c r="I96" s="4" t="n">
        <v>0</v>
      </c>
      <c r="J96" s="4" t="n">
        <v>11.48</v>
      </c>
      <c r="K96" s="4" t="n">
        <v>13.01</v>
      </c>
      <c r="L96" s="4" t="n">
        <v>14.54</v>
      </c>
      <c r="M96" s="4" t="n">
        <v>16.07</v>
      </c>
      <c r="N96" s="4" t="n">
        <v>17.6</v>
      </c>
      <c r="O96" s="9" t="n">
        <f aca="false">MAX(1,MIN(5,1+INT(IFERROR(INDEX(Calculator!$E$6:$E$23,MATCH("ICE",Calculator!$A$6:$A$23,0)),0)/20)))</f>
        <v>1</v>
      </c>
      <c r="P96" s="24" t="n">
        <f aca="false">INDEX(J96:N96,O96)*(1+(IFERROR(G96/10*INDEX(Calculator!$E$6:$E$23,MATCH(F96,Calculator!$A$6:$A$23,0))/100,0)+IFERROR(I96/10*INDEX(Calculator!$E$6:$E$23,MATCH(H96,Calculator!$A$6:$A$23,0))/100,0))*(1+Constants!$B$25*Calculator!$C$28))*(1+Calculator!$C$45)*(1-(1-MIN(0.5,Constants!$B$26*Calculator!$C$28))*Constants!$B$6)</f>
        <v>10.68501</v>
      </c>
    </row>
    <row r="97" customFormat="false" ht="15" hidden="false" customHeight="false" outlineLevel="0" collapsed="false">
      <c r="A97" s="4" t="s">
        <v>2534</v>
      </c>
      <c r="B97" s="4" t="s">
        <v>61</v>
      </c>
      <c r="C97" s="4" t="s">
        <v>2422</v>
      </c>
      <c r="D97" s="4" t="s">
        <v>2427</v>
      </c>
      <c r="E97" s="4" t="s">
        <v>804</v>
      </c>
      <c r="F97" s="4" t="s">
        <v>61</v>
      </c>
      <c r="G97" s="4" t="n">
        <v>2.75</v>
      </c>
      <c r="H97" s="4"/>
      <c r="I97" s="4" t="n">
        <v>0</v>
      </c>
      <c r="J97" s="4" t="n">
        <v>48</v>
      </c>
      <c r="K97" s="4" t="n">
        <v>62.4</v>
      </c>
      <c r="L97" s="4" t="n">
        <v>76.8</v>
      </c>
      <c r="M97" s="4" t="n">
        <v>91.2</v>
      </c>
      <c r="N97" s="4" t="n">
        <v>105.6</v>
      </c>
      <c r="O97" s="9" t="n">
        <f aca="false">MAX(1,MIN(5,1+INT(IFERROR(INDEX(Calculator!$E$6:$E$23,MATCH("ICE",Calculator!$A$6:$A$23,0)),0)/20)))</f>
        <v>1</v>
      </c>
      <c r="P97" s="24" t="n">
        <f aca="false">INDEX(J97:N97,O97)*(1+(IFERROR(G97/10*INDEX(Calculator!$E$6:$E$23,MATCH(F97,Calculator!$A$6:$A$23,0))/100,0)+IFERROR(I97/10*INDEX(Calculator!$E$6:$E$23,MATCH(H97,Calculator!$A$6:$A$23,0))/100,0))*(1+Constants!$B$25*Calculator!$C$28))*(1+Calculator!$C$45)*(1-(1-MIN(0.5,Constants!$B$26*Calculator!$C$28))*Constants!$B$6)</f>
        <v>44.676</v>
      </c>
    </row>
    <row r="98" customFormat="false" ht="15" hidden="false" customHeight="false" outlineLevel="0" collapsed="false">
      <c r="A98" s="4" t="s">
        <v>2535</v>
      </c>
      <c r="B98" s="4" t="s">
        <v>61</v>
      </c>
      <c r="C98" s="4" t="s">
        <v>2422</v>
      </c>
      <c r="D98" s="4" t="s">
        <v>2427</v>
      </c>
      <c r="E98" s="4" t="s">
        <v>395</v>
      </c>
      <c r="F98" s="4" t="s">
        <v>61</v>
      </c>
      <c r="G98" s="4" t="n">
        <v>2.75</v>
      </c>
      <c r="H98" s="4"/>
      <c r="I98" s="4" t="n">
        <v>0</v>
      </c>
      <c r="J98" s="4" t="n">
        <v>18</v>
      </c>
      <c r="K98" s="4" t="n">
        <v>23.8</v>
      </c>
      <c r="L98" s="4" t="n">
        <v>30.4</v>
      </c>
      <c r="M98" s="4" t="n">
        <v>37.8</v>
      </c>
      <c r="N98" s="4" t="n">
        <v>46</v>
      </c>
      <c r="O98" s="9" t="n">
        <f aca="false">MAX(1,MIN(5,1+INT(IFERROR(INDEX(Calculator!$E$6:$E$23,MATCH("ICE",Calculator!$A$6:$A$23,0)),0)/20)))</f>
        <v>1</v>
      </c>
      <c r="P98" s="24" t="n">
        <f aca="false">INDEX(J98:N98,O98)*(1+(IFERROR(G98/10*INDEX(Calculator!$E$6:$E$23,MATCH(F98,Calculator!$A$6:$A$23,0))/100,0)+IFERROR(I98/10*INDEX(Calculator!$E$6:$E$23,MATCH(H98,Calculator!$A$6:$A$23,0))/100,0))*(1+Constants!$B$25*Calculator!$C$28))*(1+Calculator!$C$45)*(1-(1-MIN(0.5,Constants!$B$26*Calculator!$C$28))*Constants!$B$6)</f>
        <v>16.7535</v>
      </c>
    </row>
    <row r="99" customFormat="false" ht="15" hidden="false" customHeight="false" outlineLevel="0" collapsed="false">
      <c r="A99" s="4" t="s">
        <v>2536</v>
      </c>
      <c r="B99" s="4" t="s">
        <v>61</v>
      </c>
      <c r="C99" s="4" t="s">
        <v>2422</v>
      </c>
      <c r="D99" s="4" t="s">
        <v>2427</v>
      </c>
      <c r="E99" s="4" t="s">
        <v>804</v>
      </c>
      <c r="F99" s="4" t="s">
        <v>61</v>
      </c>
      <c r="G99" s="4" t="n">
        <v>2.75</v>
      </c>
      <c r="H99" s="4"/>
      <c r="I99" s="4" t="n">
        <v>0</v>
      </c>
      <c r="J99" s="4" t="n">
        <v>25</v>
      </c>
      <c r="K99" s="4" t="n">
        <v>30</v>
      </c>
      <c r="L99" s="4" t="n">
        <v>35</v>
      </c>
      <c r="M99" s="4" t="n">
        <v>40</v>
      </c>
      <c r="N99" s="4" t="n">
        <v>45</v>
      </c>
      <c r="O99" s="9" t="n">
        <f aca="false">MAX(1,MIN(5,1+INT(IFERROR(INDEX(Calculator!$E$6:$E$23,MATCH("ICE",Calculator!$A$6:$A$23,0)),0)/20)))</f>
        <v>1</v>
      </c>
      <c r="P99" s="24" t="n">
        <f aca="false">INDEX(J99:N99,O99)*(1+(IFERROR(G99/10*INDEX(Calculator!$E$6:$E$23,MATCH(F99,Calculator!$A$6:$A$23,0))/100,0)+IFERROR(I99/10*INDEX(Calculator!$E$6:$E$23,MATCH(H99,Calculator!$A$6:$A$23,0))/100,0))*(1+Constants!$B$25*Calculator!$C$28))*(1+Calculator!$C$45)*(1-(1-MIN(0.5,Constants!$B$26*Calculator!$C$28))*Constants!$B$6)</f>
        <v>23.26875</v>
      </c>
    </row>
    <row r="100" customFormat="false" ht="15" hidden="false" customHeight="false" outlineLevel="0" collapsed="false">
      <c r="A100" s="4" t="s">
        <v>2537</v>
      </c>
      <c r="B100" s="4" t="s">
        <v>61</v>
      </c>
      <c r="C100" s="4" t="s">
        <v>2422</v>
      </c>
      <c r="D100" s="4" t="s">
        <v>2427</v>
      </c>
      <c r="E100" s="4" t="s">
        <v>2468</v>
      </c>
      <c r="F100" s="4" t="s">
        <v>61</v>
      </c>
      <c r="G100" s="4" t="n">
        <v>2.75</v>
      </c>
      <c r="H100" s="4"/>
      <c r="I100" s="4" t="n">
        <v>0</v>
      </c>
      <c r="J100" s="4" t="n">
        <v>8</v>
      </c>
      <c r="K100" s="4" t="n">
        <v>11</v>
      </c>
      <c r="L100" s="4" t="n">
        <v>14</v>
      </c>
      <c r="M100" s="4" t="n">
        <v>17</v>
      </c>
      <c r="N100" s="4" t="n">
        <v>20</v>
      </c>
      <c r="O100" s="9" t="n">
        <f aca="false">MAX(1,MIN(5,1+INT(IFERROR(INDEX(Calculator!$E$6:$E$23,MATCH("ICE",Calculator!$A$6:$A$23,0)),0)/20)))</f>
        <v>1</v>
      </c>
      <c r="P100" s="24" t="n">
        <f aca="false">INDEX(J100:N100,O100)*(1+(IFERROR(G100/10*INDEX(Calculator!$E$6:$E$23,MATCH(F100,Calculator!$A$6:$A$23,0))/100,0)+IFERROR(I100/10*INDEX(Calculator!$E$6:$E$23,MATCH(H100,Calculator!$A$6:$A$23,0))/100,0))*(1+Constants!$B$25*Calculator!$C$28))*(1+Calculator!$C$45)*(1-(1-MIN(0.5,Constants!$B$26*Calculator!$C$28))*Constants!$B$6)</f>
        <v>7.446</v>
      </c>
    </row>
    <row r="101" customFormat="false" ht="15" hidden="false" customHeight="false" outlineLevel="0" collapsed="false">
      <c r="A101" s="4" t="s">
        <v>2538</v>
      </c>
      <c r="B101" s="4" t="s">
        <v>61</v>
      </c>
      <c r="C101" s="4" t="s">
        <v>2429</v>
      </c>
      <c r="D101" s="4" t="s">
        <v>2427</v>
      </c>
      <c r="E101" s="4" t="s">
        <v>1687</v>
      </c>
      <c r="F101" s="4"/>
      <c r="G101" s="4" t="n">
        <v>0</v>
      </c>
      <c r="H101" s="4"/>
      <c r="I101" s="4" t="n">
        <v>0</v>
      </c>
      <c r="J101" s="4"/>
      <c r="K101" s="4"/>
      <c r="L101" s="4"/>
      <c r="M101" s="4"/>
      <c r="N101" s="4"/>
    </row>
    <row r="102" customFormat="false" ht="15" hidden="false" customHeight="false" outlineLevel="0" collapsed="false">
      <c r="A102" s="4" t="s">
        <v>2539</v>
      </c>
      <c r="B102" s="4" t="s">
        <v>61</v>
      </c>
      <c r="C102" s="4" t="s">
        <v>2422</v>
      </c>
      <c r="D102" s="4" t="s">
        <v>2427</v>
      </c>
      <c r="E102" s="4" t="s">
        <v>395</v>
      </c>
      <c r="F102" s="4" t="s">
        <v>61</v>
      </c>
      <c r="G102" s="4" t="n">
        <v>2.75</v>
      </c>
      <c r="H102" s="4"/>
      <c r="I102" s="4" t="n">
        <v>0</v>
      </c>
      <c r="J102" s="4" t="n">
        <v>35</v>
      </c>
      <c r="K102" s="4" t="n">
        <v>38</v>
      </c>
      <c r="L102" s="4" t="n">
        <v>41</v>
      </c>
      <c r="M102" s="4" t="n">
        <v>44</v>
      </c>
      <c r="N102" s="4" t="n">
        <v>47</v>
      </c>
      <c r="O102" s="9" t="n">
        <f aca="false">MAX(1,MIN(5,1+INT(IFERROR(INDEX(Calculator!$E$6:$E$23,MATCH("ICE",Calculator!$A$6:$A$23,0)),0)/20)))</f>
        <v>1</v>
      </c>
      <c r="P102" s="24" t="n">
        <f aca="false">INDEX(J102:N102,O102)*(1+(IFERROR(G102/10*INDEX(Calculator!$E$6:$E$23,MATCH(F102,Calculator!$A$6:$A$23,0))/100,0)+IFERROR(I102/10*INDEX(Calculator!$E$6:$E$23,MATCH(H102,Calculator!$A$6:$A$23,0))/100,0))*(1+Constants!$B$25*Calculator!$C$28))*(1+Calculator!$C$45)*(1-(1-MIN(0.5,Constants!$B$26*Calculator!$C$28))*Constants!$B$6)</f>
        <v>32.57625</v>
      </c>
    </row>
    <row r="103" customFormat="false" ht="15" hidden="false" customHeight="false" outlineLevel="0" collapsed="false">
      <c r="A103" s="4" t="s">
        <v>2540</v>
      </c>
      <c r="B103" s="4" t="s">
        <v>61</v>
      </c>
      <c r="C103" s="4" t="s">
        <v>2422</v>
      </c>
      <c r="D103" s="4" t="s">
        <v>2427</v>
      </c>
      <c r="E103" s="4" t="s">
        <v>1304</v>
      </c>
      <c r="F103" s="4" t="s">
        <v>61</v>
      </c>
      <c r="G103" s="4" t="n">
        <v>2.75</v>
      </c>
      <c r="H103" s="4"/>
      <c r="I103" s="4" t="n">
        <v>0</v>
      </c>
      <c r="J103" s="4" t="n">
        <v>25</v>
      </c>
      <c r="K103" s="4" t="n">
        <v>25</v>
      </c>
      <c r="L103" s="4" t="n">
        <v>25</v>
      </c>
      <c r="M103" s="4" t="n">
        <v>25</v>
      </c>
      <c r="N103" s="4" t="n">
        <v>25</v>
      </c>
      <c r="O103" s="9" t="n">
        <f aca="false">MAX(1,MIN(5,1+INT(IFERROR(INDEX(Calculator!$E$6:$E$23,MATCH("ICE",Calculator!$A$6:$A$23,0)),0)/20)))</f>
        <v>1</v>
      </c>
      <c r="P103" s="24" t="n">
        <f aca="false">INDEX(J103:N103,O103)*(1+(IFERROR(G103/10*INDEX(Calculator!$E$6:$E$23,MATCH(F103,Calculator!$A$6:$A$23,0))/100,0)+IFERROR(I103/10*INDEX(Calculator!$E$6:$E$23,MATCH(H103,Calculator!$A$6:$A$23,0))/100,0))*(1+Constants!$B$25*Calculator!$C$28))*(1+Calculator!$C$45)*(1-(1-MIN(0.5,Constants!$B$26*Calculator!$C$28))*Constants!$B$6)</f>
        <v>23.26875</v>
      </c>
    </row>
    <row r="104" customFormat="false" ht="15" hidden="false" customHeight="false" outlineLevel="0" collapsed="false">
      <c r="A104" s="4" t="s">
        <v>2541</v>
      </c>
      <c r="B104" s="4" t="s">
        <v>61</v>
      </c>
      <c r="C104" s="4" t="s">
        <v>2426</v>
      </c>
      <c r="D104" s="4" t="s">
        <v>2427</v>
      </c>
      <c r="E104" s="4" t="s">
        <v>1687</v>
      </c>
      <c r="F104" s="4" t="s">
        <v>61</v>
      </c>
      <c r="G104" s="4" t="n">
        <v>5</v>
      </c>
      <c r="H104" s="4"/>
      <c r="I104" s="4" t="n">
        <v>0</v>
      </c>
      <c r="J104" s="4" t="n">
        <v>15</v>
      </c>
      <c r="K104" s="4" t="n">
        <v>17.5</v>
      </c>
      <c r="L104" s="4" t="n">
        <v>20</v>
      </c>
      <c r="M104" s="4" t="n">
        <v>22.5</v>
      </c>
      <c r="N104" s="4" t="n">
        <v>25</v>
      </c>
      <c r="O104" s="9" t="n">
        <f aca="false">MAX(1,MIN(5,1+INT(IFERROR(INDEX(Calculator!$E$6:$E$23,MATCH("ICE",Calculator!$A$6:$A$23,0)),0)/20)))</f>
        <v>1</v>
      </c>
      <c r="P104" s="24" t="n">
        <f aca="false">INDEX(J104:N104,O104)*(1+(IFERROR(G104/10*INDEX(Calculator!$E$6:$E$23,MATCH(F104,Calculator!$A$6:$A$23,0))/100,0)+IFERROR(I104/10*INDEX(Calculator!$E$6:$E$23,MATCH(H104,Calculator!$A$6:$A$23,0))/100,0))*(1+Constants!$B$25*Calculator!$C$28))*(1+Calculator!$C$45)*(1-(1-MIN(0.5,Constants!$B$26*Calculator!$C$28))*Constants!$B$6)</f>
        <v>13.96125</v>
      </c>
    </row>
    <row r="105" customFormat="false" ht="15" hidden="false" customHeight="false" outlineLevel="0" collapsed="false">
      <c r="A105" s="4" t="s">
        <v>2542</v>
      </c>
      <c r="B105" s="4" t="s">
        <v>1815</v>
      </c>
      <c r="C105" s="4" t="s">
        <v>2422</v>
      </c>
      <c r="D105" s="4" t="s">
        <v>2432</v>
      </c>
      <c r="E105" s="4" t="s">
        <v>798</v>
      </c>
      <c r="F105" s="4"/>
      <c r="G105" s="4" t="n">
        <v>0</v>
      </c>
      <c r="H105" s="4"/>
      <c r="I105" s="4" t="n">
        <v>0</v>
      </c>
      <c r="J105" s="4"/>
      <c r="K105" s="4"/>
      <c r="L105" s="4"/>
      <c r="M105" s="4"/>
      <c r="N105" s="4"/>
    </row>
    <row r="106" customFormat="false" ht="15" hidden="false" customHeight="false" outlineLevel="0" collapsed="false">
      <c r="A106" s="4" t="s">
        <v>2543</v>
      </c>
      <c r="B106" s="4" t="s">
        <v>1815</v>
      </c>
      <c r="C106" s="4" t="s">
        <v>2422</v>
      </c>
      <c r="D106" s="4" t="s">
        <v>2432</v>
      </c>
      <c r="E106" s="4" t="s">
        <v>798</v>
      </c>
      <c r="F106" s="4"/>
      <c r="G106" s="4" t="n">
        <v>0</v>
      </c>
      <c r="H106" s="4"/>
      <c r="I106" s="4" t="n">
        <v>0</v>
      </c>
      <c r="J106" s="4"/>
      <c r="K106" s="4"/>
      <c r="L106" s="4"/>
      <c r="M106" s="4"/>
      <c r="N106" s="4"/>
    </row>
    <row r="107" customFormat="false" ht="15" hidden="false" customHeight="false" outlineLevel="0" collapsed="false">
      <c r="A107" s="4" t="s">
        <v>2544</v>
      </c>
      <c r="B107" s="4" t="s">
        <v>1794</v>
      </c>
      <c r="C107" s="4" t="s">
        <v>2422</v>
      </c>
      <c r="D107" s="4" t="s">
        <v>2432</v>
      </c>
      <c r="E107" s="4" t="s">
        <v>772</v>
      </c>
      <c r="F107" s="4"/>
      <c r="G107" s="4" t="n">
        <v>0</v>
      </c>
      <c r="H107" s="4"/>
      <c r="I107" s="4" t="n">
        <v>0</v>
      </c>
      <c r="J107" s="4"/>
      <c r="K107" s="4"/>
      <c r="L107" s="4"/>
      <c r="M107" s="4"/>
      <c r="N107" s="4"/>
    </row>
    <row r="108" customFormat="false" ht="15" hidden="false" customHeight="false" outlineLevel="0" collapsed="false">
      <c r="A108" s="4" t="s">
        <v>2545</v>
      </c>
      <c r="B108" s="4" t="s">
        <v>69</v>
      </c>
      <c r="C108" s="4" t="s">
        <v>2422</v>
      </c>
      <c r="D108" s="4" t="s">
        <v>2427</v>
      </c>
      <c r="E108" s="4" t="s">
        <v>1694</v>
      </c>
      <c r="F108" s="4" t="s">
        <v>69</v>
      </c>
      <c r="G108" s="4" t="n">
        <v>2.75</v>
      </c>
      <c r="H108" s="4"/>
      <c r="I108" s="4" t="n">
        <v>0</v>
      </c>
      <c r="J108" s="4" t="n">
        <v>29.47</v>
      </c>
      <c r="K108" s="4" t="n">
        <v>36.82</v>
      </c>
      <c r="L108" s="4" t="n">
        <v>44.2</v>
      </c>
      <c r="M108" s="4" t="n">
        <v>51.34</v>
      </c>
      <c r="N108" s="4" t="n">
        <v>58.93</v>
      </c>
      <c r="O108" s="9" t="n">
        <f aca="false">MAX(1,MIN(5,1+INT(IFERROR(INDEX(Calculator!$E$6:$E$23,MATCH("IRN",Calculator!$A$6:$A$23,0)),0)/20)))</f>
        <v>5</v>
      </c>
      <c r="P108" s="24" t="n">
        <f aca="false">INDEX(J108:N108,O108)*(1+(IFERROR(G108/10*INDEX(Calculator!$E$6:$E$23,MATCH(F108,Calculator!$A$6:$A$23,0))/100,0)+IFERROR(I108/10*INDEX(Calculator!$E$6:$E$23,MATCH(H108,Calculator!$A$6:$A$23,0))/100,0))*(1+Constants!$B$25*Calculator!$C$28))*(1+Calculator!$C$45)*(1-(1-MIN(0.5,Constants!$B$26*Calculator!$C$28))*Constants!$B$6)</f>
        <v>71.953788555375</v>
      </c>
    </row>
    <row r="109" customFormat="false" ht="15" hidden="false" customHeight="false" outlineLevel="0" collapsed="false">
      <c r="A109" s="4" t="s">
        <v>2546</v>
      </c>
      <c r="B109" s="4" t="s">
        <v>69</v>
      </c>
      <c r="C109" s="4" t="s">
        <v>2422</v>
      </c>
      <c r="D109" s="4" t="s">
        <v>2427</v>
      </c>
      <c r="E109" s="4" t="s">
        <v>1164</v>
      </c>
      <c r="F109" s="4" t="s">
        <v>69</v>
      </c>
      <c r="G109" s="4" t="n">
        <v>2.75</v>
      </c>
      <c r="H109" s="4"/>
      <c r="I109" s="4" t="n">
        <v>0</v>
      </c>
      <c r="J109" s="4" t="n">
        <v>26</v>
      </c>
      <c r="K109" s="4" t="n">
        <v>28.6</v>
      </c>
      <c r="L109" s="4" t="n">
        <v>31.2</v>
      </c>
      <c r="M109" s="4" t="n">
        <v>33.8</v>
      </c>
      <c r="N109" s="4" t="n">
        <v>36.4</v>
      </c>
      <c r="O109" s="9" t="n">
        <f aca="false">MAX(1,MIN(5,1+INT(IFERROR(INDEX(Calculator!$E$6:$E$23,MATCH("IRN",Calculator!$A$6:$A$23,0)),0)/20)))</f>
        <v>5</v>
      </c>
      <c r="P109" s="24" t="n">
        <f aca="false">INDEX(J109:N109,O109)*(1+(IFERROR(G109/10*INDEX(Calculator!$E$6:$E$23,MATCH(F109,Calculator!$A$6:$A$23,0))/100,0)+IFERROR(I109/10*INDEX(Calculator!$E$6:$E$23,MATCH(H109,Calculator!$A$6:$A$23,0))/100,0))*(1+Constants!$B$25*Calculator!$C$28))*(1+Calculator!$C$45)*(1-(1-MIN(0.5,Constants!$B$26*Calculator!$C$28))*Constants!$B$6)</f>
        <v>44.444559705</v>
      </c>
    </row>
    <row r="110" customFormat="false" ht="15" hidden="false" customHeight="false" outlineLevel="0" collapsed="false">
      <c r="A110" s="4" t="s">
        <v>2547</v>
      </c>
      <c r="B110" s="4" t="s">
        <v>69</v>
      </c>
      <c r="C110" s="4" t="s">
        <v>2426</v>
      </c>
      <c r="D110" s="4" t="s">
        <v>2427</v>
      </c>
      <c r="E110" s="4" t="s">
        <v>405</v>
      </c>
      <c r="F110" s="4"/>
      <c r="G110" s="4" t="n">
        <v>0</v>
      </c>
      <c r="H110" s="4"/>
      <c r="I110" s="4" t="n">
        <v>0</v>
      </c>
      <c r="J110" s="4"/>
      <c r="K110" s="4"/>
      <c r="L110" s="4"/>
      <c r="M110" s="4"/>
      <c r="N110" s="4"/>
    </row>
    <row r="111" customFormat="false" ht="15" hidden="false" customHeight="false" outlineLevel="0" collapsed="false">
      <c r="A111" s="4" t="s">
        <v>2548</v>
      </c>
      <c r="B111" s="4" t="s">
        <v>69</v>
      </c>
      <c r="C111" s="4" t="s">
        <v>2422</v>
      </c>
      <c r="D111" s="4" t="s">
        <v>2427</v>
      </c>
      <c r="E111" s="4" t="s">
        <v>1694</v>
      </c>
      <c r="F111" s="4" t="s">
        <v>69</v>
      </c>
      <c r="G111" s="4" t="n">
        <v>2.75</v>
      </c>
      <c r="H111" s="4"/>
      <c r="I111" s="4" t="n">
        <v>0</v>
      </c>
      <c r="J111" s="4" t="n">
        <v>32.5</v>
      </c>
      <c r="K111" s="4" t="n">
        <v>37.05</v>
      </c>
      <c r="L111" s="4" t="n">
        <v>41.6</v>
      </c>
      <c r="M111" s="4" t="n">
        <v>46.15</v>
      </c>
      <c r="N111" s="4" t="n">
        <v>50.7</v>
      </c>
      <c r="O111" s="9" t="n">
        <f aca="false">MAX(1,MIN(5,1+INT(IFERROR(INDEX(Calculator!$E$6:$E$23,MATCH("IRN",Calculator!$A$6:$A$23,0)),0)/20)))</f>
        <v>5</v>
      </c>
      <c r="P111" s="24" t="n">
        <f aca="false">INDEX(J111:N111,O111)*(1+(IFERROR(G111/10*INDEX(Calculator!$E$6:$E$23,MATCH(F111,Calculator!$A$6:$A$23,0))/100,0)+IFERROR(I111/10*INDEX(Calculator!$E$6:$E$23,MATCH(H111,Calculator!$A$6:$A$23,0))/100,0))*(1+Constants!$B$25*Calculator!$C$28))*(1+Calculator!$C$45)*(1-(1-MIN(0.5,Constants!$B$26*Calculator!$C$28))*Constants!$B$6)</f>
        <v>61.90492244625</v>
      </c>
    </row>
    <row r="112" customFormat="false" ht="15" hidden="false" customHeight="false" outlineLevel="0" collapsed="false">
      <c r="A112" s="4" t="s">
        <v>2549</v>
      </c>
      <c r="B112" s="4" t="s">
        <v>2550</v>
      </c>
      <c r="C112" s="4" t="s">
        <v>2422</v>
      </c>
      <c r="D112" s="4" t="s">
        <v>2427</v>
      </c>
      <c r="E112" s="4" t="s">
        <v>2551</v>
      </c>
      <c r="F112" s="4" t="s">
        <v>69</v>
      </c>
      <c r="G112" s="4" t="n">
        <v>2.75</v>
      </c>
      <c r="H112" s="4" t="s">
        <v>63</v>
      </c>
      <c r="I112" s="4" t="n">
        <v>2.75</v>
      </c>
      <c r="J112" s="4" t="n">
        <v>12.16</v>
      </c>
      <c r="K112" s="4" t="n">
        <v>13.3</v>
      </c>
      <c r="L112" s="4" t="n">
        <v>14.44</v>
      </c>
      <c r="M112" s="4" t="n">
        <v>15.58</v>
      </c>
      <c r="N112" s="4" t="n">
        <v>16.72</v>
      </c>
      <c r="O112" s="9" t="n">
        <f aca="false">MAX(1,MIN(5,1+INT(IFERROR(INDEX(Calculator!$E$6:$E$23,MATCH("IRN",Calculator!$A$6:$A$23,0)),0)/20)))</f>
        <v>5</v>
      </c>
      <c r="P112" s="24" t="n">
        <f aca="false">INDEX(J112:N112,O112)*(1+(IFERROR(G112/10*INDEX(Calculator!$E$6:$E$23,MATCH(F112,Calculator!$A$6:$A$23,0))/100,0)+IFERROR(I112/10*INDEX(Calculator!$E$6:$E$23,MATCH(H112,Calculator!$A$6:$A$23,0))/100,0))*(1+Constants!$B$25*Calculator!$C$28))*(1+Calculator!$C$45)*(1-(1-MIN(0.5,Constants!$B$26*Calculator!$C$28))*Constants!$B$6)</f>
        <v>21.6014952912</v>
      </c>
    </row>
    <row r="113" customFormat="false" ht="15" hidden="false" customHeight="false" outlineLevel="0" collapsed="false">
      <c r="A113" s="4" t="s">
        <v>2552</v>
      </c>
      <c r="B113" s="4" t="s">
        <v>1801</v>
      </c>
      <c r="C113" s="4" t="s">
        <v>2429</v>
      </c>
      <c r="D113" s="4" t="s">
        <v>2432</v>
      </c>
      <c r="E113" s="4" t="s">
        <v>375</v>
      </c>
      <c r="F113" s="4"/>
      <c r="G113" s="4" t="n">
        <v>0</v>
      </c>
      <c r="H113" s="4"/>
      <c r="I113" s="4" t="n">
        <v>0</v>
      </c>
      <c r="J113" s="4"/>
      <c r="K113" s="4"/>
      <c r="L113" s="4"/>
      <c r="M113" s="4"/>
      <c r="N113" s="4"/>
    </row>
    <row r="114" customFormat="false" ht="15" hidden="false" customHeight="false" outlineLevel="0" collapsed="false">
      <c r="A114" s="4" t="s">
        <v>2553</v>
      </c>
      <c r="B114" s="4" t="s">
        <v>63</v>
      </c>
      <c r="C114" s="4" t="s">
        <v>2422</v>
      </c>
      <c r="D114" s="4" t="s">
        <v>2427</v>
      </c>
      <c r="E114" s="4" t="s">
        <v>2276</v>
      </c>
      <c r="F114" s="4" t="s">
        <v>63</v>
      </c>
      <c r="G114" s="4" t="n">
        <v>2.75</v>
      </c>
      <c r="H114" s="4"/>
      <c r="I114" s="4" t="n">
        <v>0</v>
      </c>
      <c r="J114" s="4" t="n">
        <v>20</v>
      </c>
      <c r="K114" s="4" t="n">
        <v>22</v>
      </c>
      <c r="L114" s="4" t="n">
        <v>24</v>
      </c>
      <c r="M114" s="4" t="n">
        <v>26</v>
      </c>
      <c r="N114" s="4" t="n">
        <v>28</v>
      </c>
      <c r="O114" s="9" t="n">
        <f aca="false">MAX(1,MIN(5,1+INT(IFERROR(INDEX(Calculator!$E$6:$E$23,MATCH("LTN",Calculator!$A$6:$A$23,0)),0)/20)))</f>
        <v>2</v>
      </c>
      <c r="P114" s="24" t="n">
        <f aca="false">INDEX(J114:N114,O114)*(1+(IFERROR(G114/10*INDEX(Calculator!$E$6:$E$23,MATCH(F114,Calculator!$A$6:$A$23,0))/100,0)+IFERROR(I114/10*INDEX(Calculator!$E$6:$E$23,MATCH(H114,Calculator!$A$6:$A$23,0))/100,0))*(1+Constants!$B$25*Calculator!$C$28))*(1+Calculator!$C$45)*(1-(1-MIN(0.5,Constants!$B$26*Calculator!$C$28))*Constants!$B$6)</f>
        <v>22.037423595</v>
      </c>
    </row>
    <row r="115" customFormat="false" ht="15" hidden="false" customHeight="false" outlineLevel="0" collapsed="false">
      <c r="A115" s="4" t="s">
        <v>2554</v>
      </c>
      <c r="B115" s="4" t="s">
        <v>1796</v>
      </c>
      <c r="C115" s="4" t="s">
        <v>2422</v>
      </c>
      <c r="D115" s="4" t="s">
        <v>2432</v>
      </c>
      <c r="E115" s="4" t="s">
        <v>1484</v>
      </c>
      <c r="F115" s="4"/>
      <c r="G115" s="4" t="n">
        <v>0</v>
      </c>
      <c r="H115" s="4"/>
      <c r="I115" s="4" t="n">
        <v>0</v>
      </c>
      <c r="J115" s="4"/>
      <c r="K115" s="4"/>
      <c r="L115" s="4"/>
      <c r="M115" s="4"/>
      <c r="N115" s="4"/>
    </row>
    <row r="116" customFormat="false" ht="15" hidden="false" customHeight="false" outlineLevel="0" collapsed="false">
      <c r="A116" s="4" t="s">
        <v>2555</v>
      </c>
      <c r="B116" s="4" t="s">
        <v>57</v>
      </c>
      <c r="C116" s="4" t="s">
        <v>2422</v>
      </c>
      <c r="D116" s="4" t="s">
        <v>2427</v>
      </c>
      <c r="E116" s="4" t="s">
        <v>2556</v>
      </c>
      <c r="F116" s="4" t="s">
        <v>57</v>
      </c>
      <c r="G116" s="4" t="n">
        <v>1.65</v>
      </c>
      <c r="H116" s="4"/>
      <c r="I116" s="4" t="n">
        <v>0</v>
      </c>
      <c r="J116" s="4" t="n">
        <v>25</v>
      </c>
      <c r="K116" s="4" t="n">
        <v>27.75</v>
      </c>
      <c r="L116" s="4" t="n">
        <v>30.5</v>
      </c>
      <c r="M116" s="4" t="n">
        <v>33.25</v>
      </c>
      <c r="N116" s="4" t="n">
        <v>36</v>
      </c>
      <c r="O116" s="9" t="n">
        <f aca="false">MAX(1,MIN(5,1+INT(IFERROR(INDEX(Calculator!$E$6:$E$23,MATCH("LHT",Calculator!$A$6:$A$23,0)),0)/20)))</f>
        <v>1</v>
      </c>
      <c r="P116" s="24" t="n">
        <f aca="false">INDEX(J116:N116,O116)*(1+(IFERROR(G116/10*INDEX(Calculator!$E$6:$E$23,MATCH(F116,Calculator!$A$6:$A$23,0))/100,0)+IFERROR(I116/10*INDEX(Calculator!$E$6:$E$23,MATCH(H116,Calculator!$A$6:$A$23,0))/100,0))*(1+Constants!$B$25*Calculator!$C$28))*(1+Calculator!$C$45)*(1-(1-MIN(0.5,Constants!$B$26*Calculator!$C$28))*Constants!$B$6)</f>
        <v>23.26875</v>
      </c>
    </row>
    <row r="117" customFormat="false" ht="15" hidden="false" customHeight="false" outlineLevel="0" collapsed="false">
      <c r="A117" s="4" t="s">
        <v>2557</v>
      </c>
      <c r="B117" s="4" t="s">
        <v>57</v>
      </c>
      <c r="C117" s="4" t="s">
        <v>2429</v>
      </c>
      <c r="D117" s="4" t="s">
        <v>2427</v>
      </c>
      <c r="E117" s="4" t="s">
        <v>2556</v>
      </c>
      <c r="F117" s="4" t="s">
        <v>57</v>
      </c>
      <c r="G117" s="4" t="n">
        <v>1.65</v>
      </c>
      <c r="H117" s="4"/>
      <c r="I117" s="4" t="n">
        <v>0</v>
      </c>
      <c r="J117" s="4" t="n">
        <v>30</v>
      </c>
      <c r="K117" s="4" t="n">
        <v>33</v>
      </c>
      <c r="L117" s="4" t="n">
        <v>36</v>
      </c>
      <c r="M117" s="4" t="n">
        <v>39</v>
      </c>
      <c r="N117" s="4" t="n">
        <v>42</v>
      </c>
      <c r="O117" s="9" t="n">
        <f aca="false">MAX(1,MIN(5,1+INT(IFERROR(INDEX(Calculator!$E$6:$E$23,MATCH("LHT",Calculator!$A$6:$A$23,0)),0)/20)))</f>
        <v>1</v>
      </c>
      <c r="P117" s="24" t="n">
        <f aca="false">INDEX(J117:N117,O117)*(1+(IFERROR(G117/10*INDEX(Calculator!$E$6:$E$23,MATCH(F117,Calculator!$A$6:$A$23,0))/100,0)+IFERROR(I117/10*INDEX(Calculator!$E$6:$E$23,MATCH(H117,Calculator!$A$6:$A$23,0))/100,0))*(1+Constants!$B$25*Calculator!$C$28))*(1+Calculator!$C$45)*(1-(1-MIN(0.5,Constants!$B$26*Calculator!$C$28))*Constants!$B$6)</f>
        <v>27.9225</v>
      </c>
    </row>
    <row r="118" customFormat="false" ht="15" hidden="false" customHeight="false" outlineLevel="0" collapsed="false">
      <c r="A118" s="4" t="s">
        <v>2558</v>
      </c>
      <c r="B118" s="4" t="s">
        <v>1807</v>
      </c>
      <c r="C118" s="4" t="s">
        <v>2422</v>
      </c>
      <c r="D118" s="4" t="s">
        <v>2432</v>
      </c>
      <c r="E118" s="4" t="s">
        <v>488</v>
      </c>
      <c r="F118" s="4"/>
      <c r="G118" s="4" t="n">
        <v>0</v>
      </c>
      <c r="H118" s="4"/>
      <c r="I118" s="4" t="n">
        <v>0</v>
      </c>
      <c r="J118" s="4"/>
      <c r="K118" s="4"/>
      <c r="L118" s="4"/>
      <c r="M118" s="4"/>
      <c r="N118" s="4"/>
    </row>
    <row r="119" customFormat="false" ht="15" hidden="false" customHeight="false" outlineLevel="0" collapsed="false">
      <c r="A119" s="4" t="s">
        <v>2559</v>
      </c>
      <c r="B119" s="4" t="s">
        <v>63</v>
      </c>
      <c r="C119" s="4" t="s">
        <v>2429</v>
      </c>
      <c r="D119" s="4" t="s">
        <v>2427</v>
      </c>
      <c r="E119" s="4" t="s">
        <v>1172</v>
      </c>
      <c r="F119" s="4" t="s">
        <v>63</v>
      </c>
      <c r="G119" s="4" t="n">
        <v>2.75</v>
      </c>
      <c r="H119" s="4"/>
      <c r="I119" s="4" t="n">
        <v>0</v>
      </c>
      <c r="J119" s="4" t="n">
        <v>15</v>
      </c>
      <c r="K119" s="4" t="n">
        <v>17.5</v>
      </c>
      <c r="L119" s="4" t="n">
        <v>20</v>
      </c>
      <c r="M119" s="4" t="n">
        <v>22.5</v>
      </c>
      <c r="N119" s="4" t="n">
        <v>25</v>
      </c>
      <c r="O119" s="9" t="n">
        <f aca="false">MAX(1,MIN(5,1+INT(IFERROR(INDEX(Calculator!$E$6:$E$23,MATCH("LTN",Calculator!$A$6:$A$23,0)),0)/20)))</f>
        <v>2</v>
      </c>
      <c r="P119" s="24" t="n">
        <f aca="false">INDEX(J119:N119,O119)*(1+(IFERROR(G119/10*INDEX(Calculator!$E$6:$E$23,MATCH(F119,Calculator!$A$6:$A$23,0))/100,0)+IFERROR(I119/10*INDEX(Calculator!$E$6:$E$23,MATCH(H119,Calculator!$A$6:$A$23,0))/100,0))*(1+Constants!$B$25*Calculator!$C$28))*(1+Calculator!$C$45)*(1-(1-MIN(0.5,Constants!$B$26*Calculator!$C$28))*Constants!$B$6)</f>
        <v>17.52976876875</v>
      </c>
    </row>
    <row r="120" customFormat="false" ht="15" hidden="false" customHeight="false" outlineLevel="0" collapsed="false">
      <c r="A120" s="4" t="s">
        <v>2560</v>
      </c>
      <c r="B120" s="4" t="s">
        <v>63</v>
      </c>
      <c r="C120" s="4" t="s">
        <v>2422</v>
      </c>
      <c r="D120" s="4" t="s">
        <v>2427</v>
      </c>
      <c r="E120" s="4" t="s">
        <v>2276</v>
      </c>
      <c r="F120" s="4" t="s">
        <v>63</v>
      </c>
      <c r="G120" s="4" t="n">
        <v>2.75</v>
      </c>
      <c r="H120" s="4"/>
      <c r="I120" s="4" t="n">
        <v>0</v>
      </c>
      <c r="J120" s="4" t="n">
        <v>30</v>
      </c>
      <c r="K120" s="4" t="n">
        <v>31.5</v>
      </c>
      <c r="L120" s="4" t="n">
        <v>33</v>
      </c>
      <c r="M120" s="4" t="n">
        <v>34.5</v>
      </c>
      <c r="N120" s="4" t="n">
        <v>36</v>
      </c>
      <c r="O120" s="9" t="n">
        <f aca="false">MAX(1,MIN(5,1+INT(IFERROR(INDEX(Calculator!$E$6:$E$23,MATCH("LTN",Calculator!$A$6:$A$23,0)),0)/20)))</f>
        <v>2</v>
      </c>
      <c r="P120" s="24" t="n">
        <f aca="false">INDEX(J120:N120,O120)*(1+(IFERROR(G120/10*INDEX(Calculator!$E$6:$E$23,MATCH(F120,Calculator!$A$6:$A$23,0))/100,0)+IFERROR(I120/10*INDEX(Calculator!$E$6:$E$23,MATCH(H120,Calculator!$A$6:$A$23,0))/100,0))*(1+Constants!$B$25*Calculator!$C$28))*(1+Calculator!$C$45)*(1-(1-MIN(0.5,Constants!$B$26*Calculator!$C$28))*Constants!$B$6)</f>
        <v>31.55358378375</v>
      </c>
    </row>
    <row r="121" customFormat="false" ht="15" hidden="false" customHeight="false" outlineLevel="0" collapsed="false">
      <c r="A121" s="4" t="s">
        <v>2561</v>
      </c>
      <c r="B121" s="4" t="s">
        <v>63</v>
      </c>
      <c r="C121" s="4" t="s">
        <v>2422</v>
      </c>
      <c r="D121" s="4" t="s">
        <v>2427</v>
      </c>
      <c r="E121" s="4" t="s">
        <v>2276</v>
      </c>
      <c r="F121" s="4" t="s">
        <v>63</v>
      </c>
      <c r="G121" s="4" t="n">
        <v>2.75</v>
      </c>
      <c r="H121" s="4"/>
      <c r="I121" s="4" t="n">
        <v>0</v>
      </c>
      <c r="J121" s="4" t="n">
        <v>26.25</v>
      </c>
      <c r="K121" s="4" t="n">
        <v>30</v>
      </c>
      <c r="L121" s="4" t="n">
        <v>33.75</v>
      </c>
      <c r="M121" s="4" t="n">
        <v>37.5</v>
      </c>
      <c r="N121" s="4" t="n">
        <v>41.25</v>
      </c>
      <c r="O121" s="9" t="n">
        <f aca="false">MAX(1,MIN(5,1+INT(IFERROR(INDEX(Calculator!$E$6:$E$23,MATCH("LTN",Calculator!$A$6:$A$23,0)),0)/20)))</f>
        <v>2</v>
      </c>
      <c r="P121" s="24" t="n">
        <f aca="false">INDEX(J121:N121,O121)*(1+(IFERROR(G121/10*INDEX(Calculator!$E$6:$E$23,MATCH(F121,Calculator!$A$6:$A$23,0))/100,0)+IFERROR(I121/10*INDEX(Calculator!$E$6:$E$23,MATCH(H121,Calculator!$A$6:$A$23,0))/100,0))*(1+Constants!$B$25*Calculator!$C$28))*(1+Calculator!$C$45)*(1-(1-MIN(0.5,Constants!$B$26*Calculator!$C$28))*Constants!$B$6)</f>
        <v>30.051032175</v>
      </c>
    </row>
    <row r="122" customFormat="false" ht="15" hidden="false" customHeight="false" outlineLevel="0" collapsed="false">
      <c r="A122" s="4" t="s">
        <v>2562</v>
      </c>
      <c r="B122" s="4" t="s">
        <v>63</v>
      </c>
      <c r="C122" s="4" t="s">
        <v>2429</v>
      </c>
      <c r="D122" s="4" t="s">
        <v>2427</v>
      </c>
      <c r="E122" s="4" t="s">
        <v>753</v>
      </c>
      <c r="F122" s="4"/>
      <c r="G122" s="4" t="n">
        <v>0</v>
      </c>
      <c r="H122" s="4"/>
      <c r="I122" s="4" t="n">
        <v>0</v>
      </c>
      <c r="J122" s="4"/>
      <c r="K122" s="4"/>
      <c r="L122" s="4"/>
      <c r="M122" s="4"/>
      <c r="N122" s="4"/>
    </row>
    <row r="123" customFormat="false" ht="15" hidden="false" customHeight="false" outlineLevel="0" collapsed="false">
      <c r="A123" s="4" t="s">
        <v>2563</v>
      </c>
      <c r="B123" s="4" t="s">
        <v>63</v>
      </c>
      <c r="C123" s="4" t="s">
        <v>2422</v>
      </c>
      <c r="D123" s="4" t="s">
        <v>2427</v>
      </c>
      <c r="E123" s="4" t="s">
        <v>415</v>
      </c>
      <c r="F123" s="4" t="s">
        <v>63</v>
      </c>
      <c r="G123" s="4" t="n">
        <v>2.75</v>
      </c>
      <c r="H123" s="4"/>
      <c r="I123" s="4" t="n">
        <v>0</v>
      </c>
      <c r="J123" s="4" t="n">
        <v>12</v>
      </c>
      <c r="K123" s="4" t="n">
        <v>15</v>
      </c>
      <c r="L123" s="4" t="n">
        <v>18</v>
      </c>
      <c r="M123" s="4" t="n">
        <v>21</v>
      </c>
      <c r="N123" s="4" t="n">
        <v>24</v>
      </c>
      <c r="O123" s="9" t="n">
        <f aca="false">MAX(1,MIN(5,1+INT(IFERROR(INDEX(Calculator!$E$6:$E$23,MATCH("LTN",Calculator!$A$6:$A$23,0)),0)/20)))</f>
        <v>2</v>
      </c>
      <c r="P123" s="24" t="n">
        <f aca="false">INDEX(J123:N123,O123)*(1+(IFERROR(G123/10*INDEX(Calculator!$E$6:$E$23,MATCH(F123,Calculator!$A$6:$A$23,0))/100,0)+IFERROR(I123/10*INDEX(Calculator!$E$6:$E$23,MATCH(H123,Calculator!$A$6:$A$23,0))/100,0))*(1+Constants!$B$25*Calculator!$C$28))*(1+Calculator!$C$45)*(1-(1-MIN(0.5,Constants!$B$26*Calculator!$C$28))*Constants!$B$6)</f>
        <v>15.0255160875</v>
      </c>
    </row>
    <row r="124" customFormat="false" ht="15" hidden="false" customHeight="false" outlineLevel="0" collapsed="false">
      <c r="A124" s="4" t="s">
        <v>2564</v>
      </c>
      <c r="B124" s="4" t="s">
        <v>63</v>
      </c>
      <c r="C124" s="4" t="s">
        <v>2422</v>
      </c>
      <c r="D124" s="4" t="s">
        <v>2427</v>
      </c>
      <c r="E124" s="4" t="s">
        <v>415</v>
      </c>
      <c r="F124" s="4" t="s">
        <v>63</v>
      </c>
      <c r="G124" s="4" t="n">
        <v>2.75</v>
      </c>
      <c r="H124" s="4"/>
      <c r="I124" s="4" t="n">
        <v>0</v>
      </c>
      <c r="J124" s="4" t="n">
        <v>23</v>
      </c>
      <c r="K124" s="4" t="n">
        <v>24.5</v>
      </c>
      <c r="L124" s="4" t="n">
        <v>26</v>
      </c>
      <c r="M124" s="4" t="n">
        <v>27.5</v>
      </c>
      <c r="N124" s="4" t="n">
        <v>29</v>
      </c>
      <c r="O124" s="9" t="n">
        <f aca="false">MAX(1,MIN(5,1+INT(IFERROR(INDEX(Calculator!$E$6:$E$23,MATCH("LTN",Calculator!$A$6:$A$23,0)),0)/20)))</f>
        <v>2</v>
      </c>
      <c r="P124" s="24" t="n">
        <f aca="false">INDEX(J124:N124,O124)*(1+(IFERROR(G124/10*INDEX(Calculator!$E$6:$E$23,MATCH(F124,Calculator!$A$6:$A$23,0))/100,0)+IFERROR(I124/10*INDEX(Calculator!$E$6:$E$23,MATCH(H124,Calculator!$A$6:$A$23,0))/100,0))*(1+Constants!$B$25*Calculator!$C$28))*(1+Calculator!$C$45)*(1-(1-MIN(0.5,Constants!$B$26*Calculator!$C$28))*Constants!$B$6)</f>
        <v>24.54167627625</v>
      </c>
    </row>
    <row r="125" customFormat="false" ht="15" hidden="false" customHeight="false" outlineLevel="0" collapsed="false">
      <c r="A125" s="4" t="s">
        <v>2565</v>
      </c>
      <c r="B125" s="4" t="s">
        <v>63</v>
      </c>
      <c r="C125" s="4" t="s">
        <v>2426</v>
      </c>
      <c r="D125" s="4" t="s">
        <v>2427</v>
      </c>
      <c r="E125" s="4" t="s">
        <v>415</v>
      </c>
      <c r="F125" s="4"/>
      <c r="G125" s="4" t="n">
        <v>0</v>
      </c>
      <c r="H125" s="4"/>
      <c r="I125" s="4" t="n">
        <v>0</v>
      </c>
      <c r="J125" s="4"/>
      <c r="K125" s="4"/>
      <c r="L125" s="4"/>
      <c r="M125" s="4"/>
      <c r="N125" s="4"/>
    </row>
    <row r="126" customFormat="false" ht="15" hidden="false" customHeight="false" outlineLevel="0" collapsed="false">
      <c r="A126" s="4" t="s">
        <v>2566</v>
      </c>
      <c r="B126" s="4" t="s">
        <v>63</v>
      </c>
      <c r="C126" s="4" t="s">
        <v>2422</v>
      </c>
      <c r="D126" s="4" t="s">
        <v>2427</v>
      </c>
      <c r="E126" s="4" t="s">
        <v>415</v>
      </c>
      <c r="F126" s="4" t="s">
        <v>63</v>
      </c>
      <c r="G126" s="4" t="n">
        <v>2.75</v>
      </c>
      <c r="H126" s="4"/>
      <c r="I126" s="4" t="n">
        <v>0</v>
      </c>
      <c r="J126" s="4" t="n">
        <v>35</v>
      </c>
      <c r="K126" s="4" t="n">
        <v>42</v>
      </c>
      <c r="L126" s="4" t="n">
        <v>49</v>
      </c>
      <c r="M126" s="4" t="n">
        <v>56</v>
      </c>
      <c r="N126" s="4" t="n">
        <v>63</v>
      </c>
      <c r="O126" s="9" t="n">
        <f aca="false">MAX(1,MIN(5,1+INT(IFERROR(INDEX(Calculator!$E$6:$E$23,MATCH("LTN",Calculator!$A$6:$A$23,0)),0)/20)))</f>
        <v>2</v>
      </c>
      <c r="P126" s="24" t="n">
        <f aca="false">INDEX(J126:N126,O126)*(1+(IFERROR(G126/10*INDEX(Calculator!$E$6:$E$23,MATCH(F126,Calculator!$A$6:$A$23,0))/100,0)+IFERROR(I126/10*INDEX(Calculator!$E$6:$E$23,MATCH(H126,Calculator!$A$6:$A$23,0))/100,0))*(1+Constants!$B$25*Calculator!$C$28))*(1+Calculator!$C$45)*(1-(1-MIN(0.5,Constants!$B$26*Calculator!$C$28))*Constants!$B$6)</f>
        <v>42.071445045</v>
      </c>
    </row>
    <row r="127" customFormat="false" ht="15" hidden="false" customHeight="false" outlineLevel="0" collapsed="false">
      <c r="A127" s="4" t="s">
        <v>2567</v>
      </c>
      <c r="B127" s="4" t="s">
        <v>1796</v>
      </c>
      <c r="C127" s="4" t="s">
        <v>2422</v>
      </c>
      <c r="D127" s="4" t="s">
        <v>2432</v>
      </c>
      <c r="E127" s="4" t="s">
        <v>1484</v>
      </c>
      <c r="F127" s="4"/>
      <c r="G127" s="4" t="n">
        <v>0</v>
      </c>
      <c r="H127" s="4"/>
      <c r="I127" s="4" t="n">
        <v>0</v>
      </c>
      <c r="J127" s="4"/>
      <c r="K127" s="4"/>
      <c r="L127" s="4"/>
      <c r="M127" s="4"/>
      <c r="N127" s="4"/>
    </row>
    <row r="128" customFormat="false" ht="15" hidden="false" customHeight="false" outlineLevel="0" collapsed="false">
      <c r="A128" s="4" t="s">
        <v>2568</v>
      </c>
      <c r="B128" s="4" t="s">
        <v>55</v>
      </c>
      <c r="C128" s="4" t="s">
        <v>2422</v>
      </c>
      <c r="D128" s="4" t="s">
        <v>2427</v>
      </c>
      <c r="E128" s="4" t="s">
        <v>603</v>
      </c>
      <c r="F128" s="4" t="s">
        <v>55</v>
      </c>
      <c r="G128" s="4" t="n">
        <v>1.65</v>
      </c>
      <c r="H128" s="4"/>
      <c r="I128" s="4" t="n">
        <v>0</v>
      </c>
      <c r="J128" s="4" t="n">
        <v>8.4</v>
      </c>
      <c r="K128" s="4" t="n">
        <v>16.8</v>
      </c>
      <c r="L128" s="4" t="n">
        <v>25.2</v>
      </c>
      <c r="M128" s="4" t="n">
        <v>33.6</v>
      </c>
      <c r="N128" s="4" t="n">
        <v>42</v>
      </c>
      <c r="O128" s="9" t="n">
        <f aca="false">MAX(1,MIN(5,1+INT(IFERROR(INDEX(Calculator!$E$6:$E$23,MATCH("MED",Calculator!$A$6:$A$23,0)),0)/20)))</f>
        <v>5</v>
      </c>
      <c r="P128" s="24" t="n">
        <f aca="false">INDEX(J128:N128,O128)*(1+(IFERROR(G128/10*INDEX(Calculator!$E$6:$E$23,MATCH(F128,Calculator!$A$6:$A$23,0))/100,0)+IFERROR(I128/10*INDEX(Calculator!$E$6:$E$23,MATCH(H128,Calculator!$A$6:$A$23,0))/100,0))*(1+Constants!$B$25*Calculator!$C$28))*(1+Calculator!$C$45)*(1-(1-MIN(0.5,Constants!$B$26*Calculator!$C$28))*Constants!$B$6)</f>
        <v>46.568453022</v>
      </c>
    </row>
    <row r="129" customFormat="false" ht="15" hidden="false" customHeight="false" outlineLevel="0" collapsed="false">
      <c r="A129" s="4" t="s">
        <v>2569</v>
      </c>
      <c r="B129" s="4" t="s">
        <v>2421</v>
      </c>
      <c r="C129" s="4" t="s">
        <v>2422</v>
      </c>
      <c r="D129" s="4" t="s">
        <v>2423</v>
      </c>
      <c r="E129" s="4" t="s">
        <v>585</v>
      </c>
      <c r="F129" s="4"/>
      <c r="G129" s="4" t="n">
        <v>0</v>
      </c>
      <c r="H129" s="4"/>
      <c r="I129" s="4" t="n">
        <v>0</v>
      </c>
      <c r="J129" s="4"/>
      <c r="K129" s="4"/>
      <c r="L129" s="4"/>
      <c r="M129" s="4"/>
      <c r="N129" s="4"/>
    </row>
    <row r="130" customFormat="false" ht="15" hidden="false" customHeight="false" outlineLevel="0" collapsed="false">
      <c r="A130" s="4" t="s">
        <v>2570</v>
      </c>
      <c r="B130" s="4" t="s">
        <v>69</v>
      </c>
      <c r="C130" s="4" t="s">
        <v>2422</v>
      </c>
      <c r="D130" s="4" t="s">
        <v>2427</v>
      </c>
      <c r="E130" s="4" t="s">
        <v>1694</v>
      </c>
      <c r="F130" s="4"/>
      <c r="G130" s="4" t="n">
        <v>0</v>
      </c>
      <c r="H130" s="4"/>
      <c r="I130" s="4" t="n">
        <v>0</v>
      </c>
      <c r="J130" s="4"/>
      <c r="K130" s="4"/>
      <c r="L130" s="4"/>
      <c r="M130" s="4"/>
      <c r="N130" s="4"/>
    </row>
    <row r="131" customFormat="false" ht="15" hidden="false" customHeight="false" outlineLevel="0" collapsed="false">
      <c r="A131" s="4" t="s">
        <v>2571</v>
      </c>
      <c r="B131" s="4" t="s">
        <v>69</v>
      </c>
      <c r="C131" s="4" t="s">
        <v>2429</v>
      </c>
      <c r="D131" s="4" t="s">
        <v>2427</v>
      </c>
      <c r="E131" s="4" t="s">
        <v>1164</v>
      </c>
      <c r="F131" s="4" t="s">
        <v>69</v>
      </c>
      <c r="G131" s="4" t="n">
        <v>2.75</v>
      </c>
      <c r="H131" s="4"/>
      <c r="I131" s="4" t="n">
        <v>0</v>
      </c>
      <c r="J131" s="4" t="n">
        <v>24.39</v>
      </c>
      <c r="K131" s="4" t="n">
        <v>26</v>
      </c>
      <c r="L131" s="4" t="n">
        <v>27.64</v>
      </c>
      <c r="M131" s="4" t="n">
        <v>29.25</v>
      </c>
      <c r="N131" s="4" t="n">
        <v>30.89</v>
      </c>
      <c r="O131" s="9" t="n">
        <f aca="false">MAX(1,MIN(5,1+INT(IFERROR(INDEX(Calculator!$E$6:$E$23,MATCH("IRN",Calculator!$A$6:$A$23,0)),0)/20)))</f>
        <v>5</v>
      </c>
      <c r="P131" s="24" t="n">
        <f aca="false">INDEX(J131:N131,O131)*(1+(IFERROR(G131/10*INDEX(Calculator!$E$6:$E$23,MATCH(F131,Calculator!$A$6:$A$23,0))/100,0)+IFERROR(I131/10*INDEX(Calculator!$E$6:$E$23,MATCH(H131,Calculator!$A$6:$A$23,0))/100,0))*(1+Constants!$B$25*Calculator!$C$28))*(1+Calculator!$C$45)*(1-(1-MIN(0.5,Constants!$B$26*Calculator!$C$28))*Constants!$B$6)</f>
        <v>37.716825529875</v>
      </c>
    </row>
    <row r="132" customFormat="false" ht="15" hidden="false" customHeight="false" outlineLevel="0" collapsed="false">
      <c r="A132" s="4" t="s">
        <v>2572</v>
      </c>
      <c r="B132" s="4" t="s">
        <v>69</v>
      </c>
      <c r="C132" s="4" t="s">
        <v>2422</v>
      </c>
      <c r="D132" s="4" t="s">
        <v>2427</v>
      </c>
      <c r="E132" s="4" t="s">
        <v>1549</v>
      </c>
      <c r="F132" s="4" t="s">
        <v>69</v>
      </c>
      <c r="G132" s="4" t="n">
        <v>2.75</v>
      </c>
      <c r="H132" s="4"/>
      <c r="I132" s="4" t="n">
        <v>0</v>
      </c>
      <c r="J132" s="4" t="n">
        <v>32.5</v>
      </c>
      <c r="K132" s="4" t="n">
        <v>32.5</v>
      </c>
      <c r="L132" s="4" t="n">
        <v>32.5</v>
      </c>
      <c r="M132" s="4" t="n">
        <v>32.5</v>
      </c>
      <c r="N132" s="4" t="n">
        <v>32.5</v>
      </c>
      <c r="O132" s="9" t="n">
        <f aca="false">MAX(1,MIN(5,1+INT(IFERROR(INDEX(Calculator!$E$6:$E$23,MATCH("IRN",Calculator!$A$6:$A$23,0)),0)/20)))</f>
        <v>5</v>
      </c>
      <c r="P132" s="24" t="n">
        <f aca="false">INDEX(J132:N132,O132)*(1+(IFERROR(G132/10*INDEX(Calculator!$E$6:$E$23,MATCH(F132,Calculator!$A$6:$A$23,0))/100,0)+IFERROR(I132/10*INDEX(Calculator!$E$6:$E$23,MATCH(H132,Calculator!$A$6:$A$23,0))/100,0))*(1+Constants!$B$25*Calculator!$C$28))*(1+Calculator!$C$45)*(1-(1-MIN(0.5,Constants!$B$26*Calculator!$C$28))*Constants!$B$6)</f>
        <v>39.68264259375</v>
      </c>
    </row>
    <row r="133" customFormat="false" ht="15" hidden="false" customHeight="false" outlineLevel="0" collapsed="false">
      <c r="A133" s="4" t="s">
        <v>2573</v>
      </c>
      <c r="B133" s="4" t="s">
        <v>69</v>
      </c>
      <c r="C133" s="4" t="s">
        <v>2422</v>
      </c>
      <c r="D133" s="4" t="s">
        <v>2427</v>
      </c>
      <c r="E133" s="4" t="s">
        <v>1164</v>
      </c>
      <c r="F133" s="4" t="s">
        <v>69</v>
      </c>
      <c r="G133" s="4" t="n">
        <v>2.75</v>
      </c>
      <c r="H133" s="4"/>
      <c r="I133" s="4" t="n">
        <v>0</v>
      </c>
      <c r="J133" s="4" t="n">
        <v>20.8</v>
      </c>
      <c r="K133" s="4" t="n">
        <v>27.95</v>
      </c>
      <c r="L133" s="4" t="n">
        <v>35.1</v>
      </c>
      <c r="M133" s="4" t="n">
        <v>42.25</v>
      </c>
      <c r="N133" s="4" t="n">
        <v>49.4</v>
      </c>
      <c r="O133" s="9" t="n">
        <f aca="false">MAX(1,MIN(5,1+INT(IFERROR(INDEX(Calculator!$E$6:$E$23,MATCH("IRN",Calculator!$A$6:$A$23,0)),0)/20)))</f>
        <v>5</v>
      </c>
      <c r="P133" s="24" t="n">
        <f aca="false">INDEX(J133:N133,O133)*(1+(IFERROR(G133/10*INDEX(Calculator!$E$6:$E$23,MATCH(F133,Calculator!$A$6:$A$23,0))/100,0)+IFERROR(I133/10*INDEX(Calculator!$E$6:$E$23,MATCH(H133,Calculator!$A$6:$A$23,0))/100,0))*(1+Constants!$B$25*Calculator!$C$28))*(1+Calculator!$C$45)*(1-(1-MIN(0.5,Constants!$B$26*Calculator!$C$28))*Constants!$B$6)</f>
        <v>60.3176167425</v>
      </c>
    </row>
    <row r="134" customFormat="false" ht="15" hidden="false" customHeight="false" outlineLevel="0" collapsed="false">
      <c r="A134" s="4" t="s">
        <v>2574</v>
      </c>
      <c r="B134" s="4" t="s">
        <v>69</v>
      </c>
      <c r="C134" s="4" t="s">
        <v>2422</v>
      </c>
      <c r="D134" s="4" t="s">
        <v>2427</v>
      </c>
      <c r="E134" s="4" t="s">
        <v>1694</v>
      </c>
      <c r="F134" s="4" t="s">
        <v>69</v>
      </c>
      <c r="G134" s="4" t="n">
        <v>2.75</v>
      </c>
      <c r="H134" s="4"/>
      <c r="I134" s="4" t="n">
        <v>0</v>
      </c>
      <c r="J134" s="4" t="n">
        <v>38.5</v>
      </c>
      <c r="K134" s="4" t="n">
        <v>45.5</v>
      </c>
      <c r="L134" s="4" t="n">
        <v>52.5</v>
      </c>
      <c r="M134" s="4" t="n">
        <v>59.5</v>
      </c>
      <c r="N134" s="4" t="n">
        <v>66.5</v>
      </c>
      <c r="O134" s="9" t="n">
        <f aca="false">MAX(1,MIN(5,1+INT(IFERROR(INDEX(Calculator!$E$6:$E$23,MATCH("IRN",Calculator!$A$6:$A$23,0)),0)/20)))</f>
        <v>5</v>
      </c>
      <c r="P134" s="24" t="n">
        <f aca="false">INDEX(J134:N134,O134)*(1+(IFERROR(G134/10*INDEX(Calculator!$E$6:$E$23,MATCH(F134,Calculator!$A$6:$A$23,0))/100,0)+IFERROR(I134/10*INDEX(Calculator!$E$6:$E$23,MATCH(H134,Calculator!$A$6:$A$23,0))/100,0))*(1+Constants!$B$25*Calculator!$C$28))*(1+Calculator!$C$45)*(1-(1-MIN(0.5,Constants!$B$26*Calculator!$C$28))*Constants!$B$6)</f>
        <v>81.19679176875</v>
      </c>
    </row>
    <row r="135" customFormat="false" ht="15" hidden="false" customHeight="false" outlineLevel="0" collapsed="false">
      <c r="A135" s="4" t="s">
        <v>2575</v>
      </c>
      <c r="B135" s="4" t="s">
        <v>69</v>
      </c>
      <c r="C135" s="4" t="s">
        <v>2422</v>
      </c>
      <c r="D135" s="4" t="s">
        <v>2427</v>
      </c>
      <c r="E135" s="4" t="s">
        <v>405</v>
      </c>
      <c r="F135" s="4" t="s">
        <v>69</v>
      </c>
      <c r="G135" s="4" t="n">
        <v>2.75</v>
      </c>
      <c r="H135" s="4"/>
      <c r="I135" s="4" t="n">
        <v>0</v>
      </c>
      <c r="J135" s="4" t="n">
        <v>7.2</v>
      </c>
      <c r="K135" s="4" t="n">
        <v>13.2</v>
      </c>
      <c r="L135" s="4" t="n">
        <v>19.2</v>
      </c>
      <c r="M135" s="4" t="n">
        <v>25.2</v>
      </c>
      <c r="N135" s="4" t="n">
        <v>31.2</v>
      </c>
      <c r="O135" s="9" t="n">
        <f aca="false">MAX(1,MIN(5,1+INT(IFERROR(INDEX(Calculator!$E$6:$E$23,MATCH("IRN",Calculator!$A$6:$A$23,0)),0)/20)))</f>
        <v>5</v>
      </c>
      <c r="P135" s="24" t="n">
        <f aca="false">INDEX(J135:N135,O135)*(1+(IFERROR(G135/10*INDEX(Calculator!$E$6:$E$23,MATCH(F135,Calculator!$A$6:$A$23,0))/100,0)+IFERROR(I135/10*INDEX(Calculator!$E$6:$E$23,MATCH(H135,Calculator!$A$6:$A$23,0))/100,0))*(1+Constants!$B$25*Calculator!$C$28))*(1+Calculator!$C$45)*(1-(1-MIN(0.5,Constants!$B$26*Calculator!$C$28))*Constants!$B$6)</f>
        <v>38.09533689</v>
      </c>
    </row>
    <row r="136" customFormat="false" ht="15" hidden="false" customHeight="false" outlineLevel="0" collapsed="false">
      <c r="A136" s="4" t="s">
        <v>2576</v>
      </c>
      <c r="B136" s="4" t="s">
        <v>69</v>
      </c>
      <c r="C136" s="4" t="s">
        <v>2422</v>
      </c>
      <c r="D136" s="4" t="s">
        <v>2427</v>
      </c>
      <c r="E136" s="4" t="s">
        <v>1164</v>
      </c>
      <c r="F136" s="4" t="s">
        <v>69</v>
      </c>
      <c r="G136" s="4" t="n">
        <v>2.75</v>
      </c>
      <c r="H136" s="4"/>
      <c r="I136" s="4" t="n">
        <v>0</v>
      </c>
      <c r="J136" s="4" t="n">
        <v>1.04</v>
      </c>
      <c r="K136" s="4" t="n">
        <v>2.34</v>
      </c>
      <c r="L136" s="4" t="n">
        <v>3.64</v>
      </c>
      <c r="M136" s="4" t="n">
        <v>4.94</v>
      </c>
      <c r="N136" s="4" t="n">
        <v>6.24</v>
      </c>
      <c r="O136" s="9" t="n">
        <f aca="false">MAX(1,MIN(5,1+INT(IFERROR(INDEX(Calculator!$E$6:$E$23,MATCH("IRN",Calculator!$A$6:$A$23,0)),0)/20)))</f>
        <v>5</v>
      </c>
      <c r="P136" s="24" t="n">
        <f aca="false">INDEX(J136:N136,O136)*(1+(IFERROR(G136/10*INDEX(Calculator!$E$6:$E$23,MATCH(F136,Calculator!$A$6:$A$23,0))/100,0)+IFERROR(I136/10*INDEX(Calculator!$E$6:$E$23,MATCH(H136,Calculator!$A$6:$A$23,0))/100,0))*(1+Constants!$B$25*Calculator!$C$28))*(1+Calculator!$C$45)*(1-(1-MIN(0.5,Constants!$B$26*Calculator!$C$28))*Constants!$B$6)</f>
        <v>7.619067378</v>
      </c>
    </row>
    <row r="137" customFormat="false" ht="15" hidden="false" customHeight="false" outlineLevel="0" collapsed="false">
      <c r="A137" s="4" t="s">
        <v>2577</v>
      </c>
      <c r="B137" s="4" t="s">
        <v>69</v>
      </c>
      <c r="C137" s="4" t="s">
        <v>2429</v>
      </c>
      <c r="D137" s="4" t="s">
        <v>2427</v>
      </c>
      <c r="E137" s="4" t="s">
        <v>1549</v>
      </c>
      <c r="F137" s="4" t="s">
        <v>69</v>
      </c>
      <c r="G137" s="4" t="n">
        <v>2.75</v>
      </c>
      <c r="H137" s="4"/>
      <c r="I137" s="4" t="n">
        <v>0</v>
      </c>
      <c r="J137" s="4" t="n">
        <v>13</v>
      </c>
      <c r="K137" s="4" t="n">
        <v>18.2</v>
      </c>
      <c r="L137" s="4" t="n">
        <v>23.4</v>
      </c>
      <c r="M137" s="4" t="n">
        <v>28.6</v>
      </c>
      <c r="N137" s="4" t="n">
        <v>33.8</v>
      </c>
      <c r="O137" s="9" t="n">
        <f aca="false">MAX(1,MIN(5,1+INT(IFERROR(INDEX(Calculator!$E$6:$E$23,MATCH("IRN",Calculator!$A$6:$A$23,0)),0)/20)))</f>
        <v>5</v>
      </c>
      <c r="P137" s="24" t="n">
        <f aca="false">INDEX(J137:N137,O137)*(1+(IFERROR(G137/10*INDEX(Calculator!$E$6:$E$23,MATCH(F137,Calculator!$A$6:$A$23,0))/100,0)+IFERROR(I137/10*INDEX(Calculator!$E$6:$E$23,MATCH(H137,Calculator!$A$6:$A$23,0))/100,0))*(1+Constants!$B$25*Calculator!$C$28))*(1+Calculator!$C$45)*(1-(1-MIN(0.5,Constants!$B$26*Calculator!$C$28))*Constants!$B$6)</f>
        <v>41.2699482975</v>
      </c>
    </row>
    <row r="138" customFormat="false" ht="15" hidden="false" customHeight="false" outlineLevel="0" collapsed="false">
      <c r="A138" s="4" t="s">
        <v>2578</v>
      </c>
      <c r="B138" s="4" t="s">
        <v>69</v>
      </c>
      <c r="C138" s="4" t="s">
        <v>2426</v>
      </c>
      <c r="D138" s="4" t="s">
        <v>2427</v>
      </c>
      <c r="E138" s="4" t="s">
        <v>1164</v>
      </c>
      <c r="F138" s="4" t="s">
        <v>69</v>
      </c>
      <c r="G138" s="4" t="n">
        <v>2.75</v>
      </c>
      <c r="H138" s="4"/>
      <c r="I138" s="4" t="n">
        <v>0</v>
      </c>
      <c r="J138" s="4" t="n">
        <v>10</v>
      </c>
      <c r="K138" s="4" t="n">
        <v>12</v>
      </c>
      <c r="L138" s="4" t="n">
        <v>14</v>
      </c>
      <c r="M138" s="4" t="n">
        <v>16</v>
      </c>
      <c r="N138" s="4" t="n">
        <v>18</v>
      </c>
      <c r="O138" s="9" t="n">
        <f aca="false">MAX(1,MIN(5,1+INT(IFERROR(INDEX(Calculator!$E$6:$E$23,MATCH("IRN",Calculator!$A$6:$A$23,0)),0)/20)))</f>
        <v>5</v>
      </c>
      <c r="P138" s="24" t="n">
        <f aca="false">INDEX(J138:N138,O138)*(1+(IFERROR(G138/10*INDEX(Calculator!$E$6:$E$23,MATCH(F138,Calculator!$A$6:$A$23,0))/100,0)+IFERROR(I138/10*INDEX(Calculator!$E$6:$E$23,MATCH(H138,Calculator!$A$6:$A$23,0))/100,0))*(1+Constants!$B$25*Calculator!$C$28))*(1+Calculator!$C$45)*(1-(1-MIN(0.5,Constants!$B$26*Calculator!$C$28))*Constants!$B$6)</f>
        <v>21.978078975</v>
      </c>
    </row>
    <row r="139" customFormat="false" ht="15" hidden="false" customHeight="false" outlineLevel="0" collapsed="false">
      <c r="A139" s="4" t="s">
        <v>2579</v>
      </c>
      <c r="B139" s="4" t="s">
        <v>69</v>
      </c>
      <c r="C139" s="4" t="s">
        <v>2447</v>
      </c>
      <c r="D139" s="4" t="s">
        <v>2427</v>
      </c>
      <c r="E139" s="4" t="s">
        <v>1164</v>
      </c>
      <c r="F139" s="4"/>
      <c r="G139" s="4" t="n">
        <v>0</v>
      </c>
      <c r="H139" s="4"/>
      <c r="I139" s="4" t="n">
        <v>0</v>
      </c>
      <c r="J139" s="4"/>
      <c r="K139" s="4"/>
      <c r="L139" s="4"/>
      <c r="M139" s="4"/>
      <c r="N139" s="4"/>
    </row>
    <row r="140" customFormat="false" ht="15" hidden="false" customHeight="false" outlineLevel="0" collapsed="false">
      <c r="A140" s="4" t="s">
        <v>2580</v>
      </c>
      <c r="B140" s="4" t="s">
        <v>1791</v>
      </c>
      <c r="C140" s="4" t="s">
        <v>2426</v>
      </c>
      <c r="D140" s="4" t="s">
        <v>2432</v>
      </c>
      <c r="E140" s="4" t="s">
        <v>459</v>
      </c>
      <c r="F140" s="4"/>
      <c r="G140" s="4" t="n">
        <v>0</v>
      </c>
      <c r="H140" s="4"/>
      <c r="I140" s="4" t="n">
        <v>0</v>
      </c>
      <c r="J140" s="4"/>
      <c r="K140" s="4"/>
      <c r="L140" s="4"/>
      <c r="M140" s="4"/>
      <c r="N140" s="4"/>
    </row>
    <row r="141" customFormat="false" ht="15" hidden="false" customHeight="false" outlineLevel="0" collapsed="false">
      <c r="A141" s="4" t="s">
        <v>2581</v>
      </c>
      <c r="B141" s="4" t="s">
        <v>1815</v>
      </c>
      <c r="C141" s="4" t="s">
        <v>2426</v>
      </c>
      <c r="D141" s="4" t="s">
        <v>2432</v>
      </c>
      <c r="E141" s="4" t="s">
        <v>798</v>
      </c>
      <c r="F141" s="4"/>
      <c r="G141" s="4" t="n">
        <v>0</v>
      </c>
      <c r="H141" s="4"/>
      <c r="I141" s="4" t="n">
        <v>0</v>
      </c>
      <c r="J141" s="4"/>
      <c r="K141" s="4"/>
      <c r="L141" s="4"/>
      <c r="M141" s="4"/>
      <c r="N141" s="4"/>
    </row>
    <row r="142" customFormat="false" ht="15" hidden="false" customHeight="false" outlineLevel="0" collapsed="false">
      <c r="A142" s="4" t="s">
        <v>2582</v>
      </c>
      <c r="B142" s="4" t="s">
        <v>69</v>
      </c>
      <c r="C142" s="4" t="s">
        <v>2422</v>
      </c>
      <c r="D142" s="4" t="s">
        <v>2427</v>
      </c>
      <c r="E142" s="4" t="s">
        <v>1549</v>
      </c>
      <c r="F142" s="4" t="s">
        <v>69</v>
      </c>
      <c r="G142" s="4" t="n">
        <v>2.75</v>
      </c>
      <c r="H142" s="4"/>
      <c r="I142" s="4" t="n">
        <v>0</v>
      </c>
      <c r="J142" s="4" t="n">
        <v>26</v>
      </c>
      <c r="K142" s="4" t="n">
        <v>29</v>
      </c>
      <c r="L142" s="4" t="n">
        <v>32</v>
      </c>
      <c r="M142" s="4" t="n">
        <v>35</v>
      </c>
      <c r="N142" s="4" t="n">
        <v>38</v>
      </c>
      <c r="O142" s="9" t="n">
        <f aca="false">MAX(1,MIN(5,1+INT(IFERROR(INDEX(Calculator!$E$6:$E$23,MATCH("IRN",Calculator!$A$6:$A$23,0)),0)/20)))</f>
        <v>5</v>
      </c>
      <c r="P142" s="24" t="n">
        <f aca="false">INDEX(J142:N142,O142)*(1+(IFERROR(G142/10*INDEX(Calculator!$E$6:$E$23,MATCH(F142,Calculator!$A$6:$A$23,0))/100,0)+IFERROR(I142/10*INDEX(Calculator!$E$6:$E$23,MATCH(H142,Calculator!$A$6:$A$23,0))/100,0))*(1+Constants!$B$25*Calculator!$C$28))*(1+Calculator!$C$45)*(1-(1-MIN(0.5,Constants!$B$26*Calculator!$C$28))*Constants!$B$6)</f>
        <v>46.398166725</v>
      </c>
    </row>
    <row r="143" customFormat="false" ht="15" hidden="false" customHeight="false" outlineLevel="0" collapsed="false">
      <c r="A143" s="4" t="s">
        <v>2583</v>
      </c>
      <c r="B143" s="4" t="s">
        <v>47</v>
      </c>
      <c r="C143" s="4" t="s">
        <v>2429</v>
      </c>
      <c r="D143" s="4" t="s">
        <v>2427</v>
      </c>
      <c r="E143" s="4" t="s">
        <v>1765</v>
      </c>
      <c r="F143" s="4"/>
      <c r="G143" s="4" t="n">
        <v>0</v>
      </c>
      <c r="H143" s="4"/>
      <c r="I143" s="4" t="n">
        <v>0</v>
      </c>
      <c r="J143" s="4"/>
      <c r="K143" s="4"/>
      <c r="L143" s="4"/>
      <c r="M143" s="4"/>
      <c r="N143" s="4"/>
    </row>
    <row r="144" customFormat="false" ht="15" hidden="false" customHeight="false" outlineLevel="0" collapsed="false">
      <c r="A144" s="4" t="s">
        <v>2584</v>
      </c>
      <c r="B144" s="4" t="s">
        <v>53</v>
      </c>
      <c r="C144" s="4" t="s">
        <v>2422</v>
      </c>
      <c r="D144" s="4" t="s">
        <v>2427</v>
      </c>
      <c r="E144" s="4" t="s">
        <v>712</v>
      </c>
      <c r="F144" s="4" t="s">
        <v>53</v>
      </c>
      <c r="G144" s="4" t="n">
        <v>1.65</v>
      </c>
      <c r="H144" s="4"/>
      <c r="I144" s="4" t="n">
        <v>0</v>
      </c>
      <c r="J144" s="4" t="n">
        <v>60</v>
      </c>
      <c r="K144" s="4" t="n">
        <v>64</v>
      </c>
      <c r="L144" s="4" t="n">
        <v>68</v>
      </c>
      <c r="M144" s="4" t="n">
        <v>72</v>
      </c>
      <c r="N144" s="4" t="n">
        <v>76</v>
      </c>
      <c r="O144" s="9" t="n">
        <f aca="false">MAX(1,MIN(5,1+INT(IFERROR(INDEX(Calculator!$E$6:$E$23,MATCH("HVY",Calculator!$A$6:$A$23,0)),0)/20)))</f>
        <v>1</v>
      </c>
      <c r="P144" s="24" t="n">
        <f aca="false">INDEX(J144:N144,O144)*(1+(IFERROR(G144/10*INDEX(Calculator!$E$6:$E$23,MATCH(F144,Calculator!$A$6:$A$23,0))/100,0)+IFERROR(I144/10*INDEX(Calculator!$E$6:$E$23,MATCH(H144,Calculator!$A$6:$A$23,0))/100,0))*(1+Constants!$B$25*Calculator!$C$28))*(1+Calculator!$C$45)*(1-(1-MIN(0.5,Constants!$B$26*Calculator!$C$28))*Constants!$B$6)</f>
        <v>55.845</v>
      </c>
    </row>
    <row r="145" customFormat="false" ht="15" hidden="false" customHeight="false" outlineLevel="0" collapsed="false">
      <c r="A145" s="4" t="s">
        <v>2585</v>
      </c>
      <c r="B145" s="4" t="s">
        <v>69</v>
      </c>
      <c r="C145" s="4" t="s">
        <v>2422</v>
      </c>
      <c r="D145" s="4" t="s">
        <v>2427</v>
      </c>
      <c r="E145" s="4" t="s">
        <v>1164</v>
      </c>
      <c r="F145" s="4" t="s">
        <v>69</v>
      </c>
      <c r="G145" s="4" t="n">
        <v>2.75</v>
      </c>
      <c r="H145" s="4"/>
      <c r="I145" s="4" t="n">
        <v>0</v>
      </c>
      <c r="J145" s="4" t="n">
        <v>26</v>
      </c>
      <c r="K145" s="4" t="n">
        <v>42.4</v>
      </c>
      <c r="L145" s="4" t="n">
        <v>58.5</v>
      </c>
      <c r="M145" s="4" t="n">
        <v>74.9</v>
      </c>
      <c r="N145" s="4" t="n">
        <v>91</v>
      </c>
      <c r="O145" s="9" t="n">
        <f aca="false">MAX(1,MIN(5,1+INT(IFERROR(INDEX(Calculator!$E$6:$E$23,MATCH("IRN",Calculator!$A$6:$A$23,0)),0)/20)))</f>
        <v>5</v>
      </c>
      <c r="P145" s="24" t="n">
        <f aca="false">INDEX(J145:N145,O145)*(1+(IFERROR(G145/10*INDEX(Calculator!$E$6:$E$23,MATCH(F145,Calculator!$A$6:$A$23,0))/100,0)+IFERROR(I145/10*INDEX(Calculator!$E$6:$E$23,MATCH(H145,Calculator!$A$6:$A$23,0))/100,0))*(1+Constants!$B$25*Calculator!$C$28))*(1+Calculator!$C$45)*(1-(1-MIN(0.5,Constants!$B$26*Calculator!$C$28))*Constants!$B$6)</f>
        <v>111.1113992625</v>
      </c>
    </row>
    <row r="146" customFormat="false" ht="15" hidden="false" customHeight="false" outlineLevel="0" collapsed="false">
      <c r="A146" s="4" t="s">
        <v>2586</v>
      </c>
      <c r="B146" s="4" t="s">
        <v>1786</v>
      </c>
      <c r="C146" s="4" t="s">
        <v>2422</v>
      </c>
      <c r="D146" s="4" t="s">
        <v>2432</v>
      </c>
      <c r="E146" s="4" t="s">
        <v>1262</v>
      </c>
      <c r="F146" s="4"/>
      <c r="G146" s="4" t="n">
        <v>0</v>
      </c>
      <c r="H146" s="4"/>
      <c r="I146" s="4" t="n">
        <v>0</v>
      </c>
      <c r="J146" s="4"/>
      <c r="K146" s="4"/>
      <c r="L146" s="4"/>
      <c r="M146" s="4"/>
      <c r="N146" s="4"/>
    </row>
    <row r="147" customFormat="false" ht="15" hidden="false" customHeight="false" outlineLevel="0" collapsed="false">
      <c r="A147" s="4" t="s">
        <v>2587</v>
      </c>
      <c r="B147" s="4" t="s">
        <v>1802</v>
      </c>
      <c r="C147" s="4" t="s">
        <v>2426</v>
      </c>
      <c r="D147" s="4" t="s">
        <v>2432</v>
      </c>
      <c r="E147" s="4" t="s">
        <v>1102</v>
      </c>
      <c r="F147" s="4"/>
      <c r="G147" s="4" t="n">
        <v>0</v>
      </c>
      <c r="H147" s="4"/>
      <c r="I147" s="4" t="n">
        <v>0</v>
      </c>
      <c r="J147" s="4"/>
      <c r="K147" s="4"/>
      <c r="L147" s="4"/>
      <c r="M147" s="4"/>
      <c r="N147" s="4"/>
    </row>
    <row r="148" customFormat="false" ht="15" hidden="false" customHeight="false" outlineLevel="0" collapsed="false">
      <c r="A148" s="4" t="s">
        <v>2588</v>
      </c>
      <c r="B148" s="4" t="s">
        <v>2589</v>
      </c>
      <c r="C148" s="4" t="s">
        <v>2422</v>
      </c>
      <c r="D148" s="4" t="s">
        <v>2427</v>
      </c>
      <c r="E148" s="4" t="s">
        <v>2590</v>
      </c>
      <c r="F148" s="4" t="s">
        <v>61</v>
      </c>
      <c r="G148" s="4" t="n">
        <v>2.75</v>
      </c>
      <c r="H148" s="4" t="s">
        <v>67</v>
      </c>
      <c r="I148" s="4" t="n">
        <v>2.75</v>
      </c>
      <c r="J148" s="4" t="n">
        <v>15</v>
      </c>
      <c r="K148" s="4" t="n">
        <v>15.5</v>
      </c>
      <c r="L148" s="4" t="n">
        <v>16</v>
      </c>
      <c r="M148" s="4" t="n">
        <v>16.5</v>
      </c>
      <c r="N148" s="4" t="n">
        <v>17</v>
      </c>
      <c r="O148" s="9" t="n">
        <f aca="false">MAX(1,MIN(5,1+INT(IFERROR(INDEX(Calculator!$E$6:$E$23,MATCH("ICE",Calculator!$A$6:$A$23,0)),0)/20)))</f>
        <v>1</v>
      </c>
      <c r="P148" s="24" t="n">
        <f aca="false">INDEX(J148:N148,O148)*(1+(IFERROR(G148/10*INDEX(Calculator!$E$6:$E$23,MATCH(F148,Calculator!$A$6:$A$23,0))/100,0)+IFERROR(I148/10*INDEX(Calculator!$E$6:$E$23,MATCH(H148,Calculator!$A$6:$A$23,0))/100,0))*(1+Constants!$B$25*Calculator!$C$28))*(1+Calculator!$C$45)*(1-(1-MIN(0.5,Constants!$B$26*Calculator!$C$28))*Constants!$B$6)</f>
        <v>13.96125</v>
      </c>
    </row>
    <row r="149" customFormat="false" ht="15" hidden="false" customHeight="false" outlineLevel="0" collapsed="false">
      <c r="A149" s="4" t="s">
        <v>2591</v>
      </c>
      <c r="B149" s="4" t="s">
        <v>65</v>
      </c>
      <c r="C149" s="4" t="s">
        <v>2422</v>
      </c>
      <c r="D149" s="4" t="s">
        <v>2427</v>
      </c>
      <c r="E149" s="4" t="s">
        <v>497</v>
      </c>
      <c r="F149" s="4" t="s">
        <v>65</v>
      </c>
      <c r="G149" s="4" t="n">
        <v>2.75</v>
      </c>
      <c r="H149" s="4"/>
      <c r="I149" s="4" t="n">
        <v>0</v>
      </c>
      <c r="J149" s="4" t="n">
        <v>35</v>
      </c>
      <c r="K149" s="4" t="n">
        <v>38</v>
      </c>
      <c r="L149" s="4" t="n">
        <v>41</v>
      </c>
      <c r="M149" s="4" t="n">
        <v>44</v>
      </c>
      <c r="N149" s="4" t="n">
        <v>47</v>
      </c>
      <c r="O149" s="9" t="n">
        <f aca="false">MAX(1,MIN(5,1+INT(IFERROR(INDEX(Calculator!$E$6:$E$23,MATCH("WND",Calculator!$A$6:$A$23,0)),0)/20)))</f>
        <v>1</v>
      </c>
      <c r="P149" s="24" t="n">
        <f aca="false">INDEX(J149:N149,O149)*(1+(IFERROR(G149/10*INDEX(Calculator!$E$6:$E$23,MATCH(F149,Calculator!$A$6:$A$23,0))/100,0)+IFERROR(I149/10*INDEX(Calculator!$E$6:$E$23,MATCH(H149,Calculator!$A$6:$A$23,0))/100,0))*(1+Constants!$B$25*Calculator!$C$28))*(1+Calculator!$C$45)*(1-(1-MIN(0.5,Constants!$B$26*Calculator!$C$28))*Constants!$B$6)</f>
        <v>32.57625</v>
      </c>
    </row>
    <row r="150" customFormat="false" ht="15" hidden="false" customHeight="false" outlineLevel="0" collapsed="false">
      <c r="A150" s="4" t="s">
        <v>2592</v>
      </c>
      <c r="B150" s="4" t="s">
        <v>1799</v>
      </c>
      <c r="C150" s="4" t="s">
        <v>2422</v>
      </c>
      <c r="D150" s="4" t="s">
        <v>2432</v>
      </c>
      <c r="E150" s="4" t="s">
        <v>562</v>
      </c>
      <c r="F150" s="4"/>
      <c r="G150" s="4" t="n">
        <v>0</v>
      </c>
      <c r="H150" s="4"/>
      <c r="I150" s="4" t="n">
        <v>0</v>
      </c>
      <c r="J150" s="4"/>
      <c r="K150" s="4"/>
      <c r="L150" s="4"/>
      <c r="M150" s="4"/>
      <c r="N150" s="4"/>
    </row>
    <row r="151" customFormat="false" ht="15" hidden="false" customHeight="false" outlineLevel="0" collapsed="false">
      <c r="A151" s="4" t="s">
        <v>2593</v>
      </c>
      <c r="B151" s="4" t="s">
        <v>47</v>
      </c>
      <c r="C151" s="4" t="s">
        <v>2422</v>
      </c>
      <c r="D151" s="4" t="s">
        <v>2427</v>
      </c>
      <c r="E151" s="4" t="s">
        <v>1273</v>
      </c>
      <c r="F151" s="4"/>
      <c r="G151" s="4" t="n">
        <v>0</v>
      </c>
      <c r="H151" s="4"/>
      <c r="I151" s="4" t="n">
        <v>0</v>
      </c>
      <c r="J151" s="4"/>
      <c r="K151" s="4"/>
      <c r="L151" s="4"/>
      <c r="M151" s="4"/>
      <c r="N151" s="4"/>
    </row>
    <row r="152" customFormat="false" ht="15" hidden="false" customHeight="false" outlineLevel="0" collapsed="false">
      <c r="A152" s="4" t="s">
        <v>2594</v>
      </c>
      <c r="B152" s="4" t="s">
        <v>53</v>
      </c>
      <c r="C152" s="4" t="s">
        <v>2422</v>
      </c>
      <c r="D152" s="4" t="s">
        <v>2427</v>
      </c>
      <c r="E152" s="4" t="s">
        <v>529</v>
      </c>
      <c r="F152" s="4" t="s">
        <v>53</v>
      </c>
      <c r="G152" s="4" t="n">
        <v>1.65</v>
      </c>
      <c r="H152" s="4"/>
      <c r="I152" s="4" t="n">
        <v>0</v>
      </c>
      <c r="J152" s="4" t="n">
        <v>24</v>
      </c>
      <c r="K152" s="4" t="n">
        <v>31.5</v>
      </c>
      <c r="L152" s="4" t="n">
        <v>39</v>
      </c>
      <c r="M152" s="4" t="n">
        <v>46.5</v>
      </c>
      <c r="N152" s="4" t="n">
        <v>54</v>
      </c>
      <c r="O152" s="9" t="n">
        <f aca="false">MAX(1,MIN(5,1+INT(IFERROR(INDEX(Calculator!$E$6:$E$23,MATCH("HVY",Calculator!$A$6:$A$23,0)),0)/20)))</f>
        <v>1</v>
      </c>
      <c r="P152" s="24" t="n">
        <f aca="false">INDEX(J152:N152,O152)*(1+(IFERROR(G152/10*INDEX(Calculator!$E$6:$E$23,MATCH(F152,Calculator!$A$6:$A$23,0))/100,0)+IFERROR(I152/10*INDEX(Calculator!$E$6:$E$23,MATCH(H152,Calculator!$A$6:$A$23,0))/100,0))*(1+Constants!$B$25*Calculator!$C$28))*(1+Calculator!$C$45)*(1-(1-MIN(0.5,Constants!$B$26*Calculator!$C$28))*Constants!$B$6)</f>
        <v>22.338</v>
      </c>
    </row>
    <row r="153" customFormat="false" ht="15" hidden="false" customHeight="false" outlineLevel="0" collapsed="false">
      <c r="A153" s="4" t="s">
        <v>2595</v>
      </c>
      <c r="B153" s="4" t="s">
        <v>55</v>
      </c>
      <c r="C153" s="4" t="s">
        <v>2422</v>
      </c>
      <c r="D153" s="4" t="s">
        <v>2427</v>
      </c>
      <c r="E153" s="4" t="s">
        <v>680</v>
      </c>
      <c r="F153" s="4" t="s">
        <v>55</v>
      </c>
      <c r="G153" s="4" t="n">
        <v>1.65</v>
      </c>
      <c r="H153" s="4"/>
      <c r="I153" s="4" t="n">
        <v>0</v>
      </c>
      <c r="J153" s="4" t="n">
        <v>9</v>
      </c>
      <c r="K153" s="4" t="n">
        <v>17</v>
      </c>
      <c r="L153" s="4" t="n">
        <v>25</v>
      </c>
      <c r="M153" s="4" t="n">
        <v>33</v>
      </c>
      <c r="N153" s="4" t="n">
        <v>41</v>
      </c>
      <c r="O153" s="9" t="n">
        <f aca="false">MAX(1,MIN(5,1+INT(IFERROR(INDEX(Calculator!$E$6:$E$23,MATCH("MED",Calculator!$A$6:$A$23,0)),0)/20)))</f>
        <v>5</v>
      </c>
      <c r="P153" s="24" t="n">
        <f aca="false">INDEX(J153:N153,O153)*(1+(IFERROR(G153/10*INDEX(Calculator!$E$6:$E$23,MATCH(F153,Calculator!$A$6:$A$23,0))/100,0)+IFERROR(I153/10*INDEX(Calculator!$E$6:$E$23,MATCH(H153,Calculator!$A$6:$A$23,0))/100,0))*(1+Constants!$B$25*Calculator!$C$28))*(1+Calculator!$C$45)*(1-(1-MIN(0.5,Constants!$B$26*Calculator!$C$28))*Constants!$B$6)</f>
        <v>45.459680331</v>
      </c>
    </row>
    <row r="154" customFormat="false" ht="15" hidden="false" customHeight="false" outlineLevel="0" collapsed="false">
      <c r="A154" s="4" t="s">
        <v>2596</v>
      </c>
      <c r="B154" s="4" t="s">
        <v>53</v>
      </c>
      <c r="C154" s="4" t="s">
        <v>2422</v>
      </c>
      <c r="D154" s="4" t="s">
        <v>2427</v>
      </c>
      <c r="E154" s="4" t="s">
        <v>712</v>
      </c>
      <c r="F154" s="4" t="s">
        <v>45</v>
      </c>
      <c r="G154" s="4" t="n">
        <v>1.65</v>
      </c>
      <c r="H154" s="4"/>
      <c r="I154" s="4" t="n">
        <v>0</v>
      </c>
      <c r="J154" s="4" t="n">
        <v>10</v>
      </c>
      <c r="K154" s="4" t="n">
        <v>15</v>
      </c>
      <c r="L154" s="4" t="n">
        <v>20</v>
      </c>
      <c r="M154" s="4" t="n">
        <v>25</v>
      </c>
      <c r="N154" s="4" t="n">
        <v>30</v>
      </c>
      <c r="O154" s="9" t="n">
        <f aca="false">MAX(1,MIN(5,1+INT(IFERROR(INDEX(Calculator!$E$6:$E$23,MATCH("HVY",Calculator!$A$6:$A$23,0)),0)/20)))</f>
        <v>1</v>
      </c>
      <c r="P154" s="24" t="n">
        <f aca="false">INDEX(J154:N154,O154)*(1+(IFERROR(G154/10*INDEX(Calculator!$E$6:$E$23,MATCH(F154,Calculator!$A$6:$A$23,0))/100,0)+IFERROR(I154/10*INDEX(Calculator!$E$6:$E$23,MATCH(H154,Calculator!$A$6:$A$23,0))/100,0))*(1+Constants!$B$25*Calculator!$C$28))*(1+Calculator!$C$45)*(1-(1-MIN(0.5,Constants!$B$26*Calculator!$C$28))*Constants!$B$6)</f>
        <v>9.733206435</v>
      </c>
    </row>
    <row r="155" customFormat="false" ht="15" hidden="false" customHeight="false" outlineLevel="0" collapsed="false">
      <c r="A155" s="4" t="s">
        <v>2597</v>
      </c>
      <c r="B155" s="4" t="s">
        <v>1797</v>
      </c>
      <c r="C155" s="4" t="s">
        <v>2422</v>
      </c>
      <c r="D155" s="4" t="s">
        <v>2432</v>
      </c>
      <c r="E155" s="4" t="s">
        <v>370</v>
      </c>
      <c r="F155" s="4"/>
      <c r="G155" s="4" t="n">
        <v>0</v>
      </c>
      <c r="H155" s="4"/>
      <c r="I155" s="4" t="n">
        <v>0</v>
      </c>
      <c r="J155" s="4"/>
      <c r="K155" s="4"/>
      <c r="L155" s="4"/>
      <c r="M155" s="4"/>
      <c r="N155" s="4"/>
    </row>
    <row r="156" customFormat="false" ht="15" hidden="false" customHeight="false" outlineLevel="0" collapsed="false">
      <c r="A156" s="4" t="s">
        <v>2598</v>
      </c>
      <c r="B156" s="4" t="s">
        <v>1797</v>
      </c>
      <c r="C156" s="4" t="s">
        <v>2422</v>
      </c>
      <c r="D156" s="4" t="s">
        <v>2432</v>
      </c>
      <c r="E156" s="4" t="s">
        <v>370</v>
      </c>
      <c r="F156" s="4"/>
      <c r="G156" s="4" t="n">
        <v>0</v>
      </c>
      <c r="H156" s="4"/>
      <c r="I156" s="4" t="n">
        <v>0</v>
      </c>
      <c r="J156" s="4"/>
      <c r="K156" s="4"/>
      <c r="L156" s="4"/>
      <c r="M156" s="4"/>
      <c r="N156" s="4"/>
    </row>
    <row r="157" customFormat="false" ht="15" hidden="false" customHeight="false" outlineLevel="0" collapsed="false">
      <c r="A157" s="4" t="s">
        <v>2599</v>
      </c>
      <c r="B157" s="4" t="s">
        <v>43</v>
      </c>
      <c r="C157" s="4" t="s">
        <v>2426</v>
      </c>
      <c r="D157" s="4" t="s">
        <v>2427</v>
      </c>
      <c r="E157" s="4" t="s">
        <v>2600</v>
      </c>
      <c r="F157" s="4"/>
      <c r="G157" s="4" t="n">
        <v>0</v>
      </c>
      <c r="H157" s="4"/>
      <c r="I157" s="4" t="n">
        <v>0</v>
      </c>
      <c r="J157" s="4"/>
      <c r="K157" s="4"/>
      <c r="L157" s="4"/>
      <c r="M157" s="4"/>
      <c r="N157" s="4"/>
    </row>
    <row r="158" customFormat="false" ht="15" hidden="false" customHeight="false" outlineLevel="0" collapsed="false">
      <c r="A158" s="4" t="s">
        <v>2601</v>
      </c>
      <c r="B158" s="4" t="s">
        <v>41</v>
      </c>
      <c r="C158" s="4" t="s">
        <v>2422</v>
      </c>
      <c r="D158" s="4" t="s">
        <v>2427</v>
      </c>
      <c r="E158" s="4" t="s">
        <v>2602</v>
      </c>
      <c r="F158" s="4" t="s">
        <v>41</v>
      </c>
      <c r="G158" s="4" t="n">
        <v>1.65</v>
      </c>
      <c r="H158" s="4"/>
      <c r="I158" s="4" t="n">
        <v>0</v>
      </c>
      <c r="J158" s="4" t="n">
        <v>80</v>
      </c>
      <c r="K158" s="4" t="n">
        <v>82.5</v>
      </c>
      <c r="L158" s="4" t="n">
        <v>85</v>
      </c>
      <c r="M158" s="4" t="n">
        <v>87.5</v>
      </c>
      <c r="N158" s="4" t="n">
        <v>90</v>
      </c>
      <c r="O158" s="9" t="n">
        <f aca="false">MAX(1,MIN(5,1+INT(IFERROR(INDEX(Calculator!$E$6:$E$23,MATCH("STR",Calculator!$A$6:$A$23,0)),0)/20)))</f>
        <v>2</v>
      </c>
      <c r="P158" s="24" t="n">
        <f aca="false">INDEX(J158:N158,O158)*(1+(IFERROR(G158/10*INDEX(Calculator!$E$6:$E$23,MATCH(F158,Calculator!$A$6:$A$23,0))/100,0)+IFERROR(I158/10*INDEX(Calculator!$E$6:$E$23,MATCH(H158,Calculator!$A$6:$A$23,0))/100,0))*(1+Constants!$B$25*Calculator!$C$28))*(1+Calculator!$C$45)*(1-(1-MIN(0.5,Constants!$B$26*Calculator!$C$28))*Constants!$B$6)</f>
        <v>80.29895308875</v>
      </c>
    </row>
    <row r="159" customFormat="false" ht="15" hidden="false" customHeight="false" outlineLevel="0" collapsed="false">
      <c r="A159" s="4" t="s">
        <v>2603</v>
      </c>
      <c r="B159" s="4" t="s">
        <v>57</v>
      </c>
      <c r="C159" s="4" t="s">
        <v>2422</v>
      </c>
      <c r="D159" s="4" t="s">
        <v>2427</v>
      </c>
      <c r="E159" s="4" t="s">
        <v>976</v>
      </c>
      <c r="F159" s="4" t="s">
        <v>57</v>
      </c>
      <c r="G159" s="4" t="n">
        <v>1.65</v>
      </c>
      <c r="H159" s="4"/>
      <c r="I159" s="4" t="n">
        <v>0</v>
      </c>
      <c r="J159" s="4" t="n">
        <v>16</v>
      </c>
      <c r="K159" s="4" t="n">
        <v>18.67</v>
      </c>
      <c r="L159" s="4" t="n">
        <v>21.33</v>
      </c>
      <c r="M159" s="4" t="n">
        <v>24</v>
      </c>
      <c r="N159" s="4" t="n">
        <v>26.67</v>
      </c>
      <c r="O159" s="9" t="n">
        <f aca="false">MAX(1,MIN(5,1+INT(IFERROR(INDEX(Calculator!$E$6:$E$23,MATCH("LHT",Calculator!$A$6:$A$23,0)),0)/20)))</f>
        <v>1</v>
      </c>
      <c r="P159" s="24" t="n">
        <f aca="false">INDEX(J159:N159,O159)*(1+(IFERROR(G159/10*INDEX(Calculator!$E$6:$E$23,MATCH(F159,Calculator!$A$6:$A$23,0))/100,0)+IFERROR(I159/10*INDEX(Calculator!$E$6:$E$23,MATCH(H159,Calculator!$A$6:$A$23,0))/100,0))*(1+Constants!$B$25*Calculator!$C$28))*(1+Calculator!$C$45)*(1-(1-MIN(0.5,Constants!$B$26*Calculator!$C$28))*Constants!$B$6)</f>
        <v>14.892</v>
      </c>
    </row>
    <row r="160" customFormat="false" ht="15" hidden="false" customHeight="false" outlineLevel="0" collapsed="false">
      <c r="A160" s="4" t="s">
        <v>2604</v>
      </c>
      <c r="B160" s="4" t="s">
        <v>71</v>
      </c>
      <c r="C160" s="4" t="s">
        <v>2422</v>
      </c>
      <c r="D160" s="4" t="s">
        <v>2427</v>
      </c>
      <c r="E160" s="4" t="s">
        <v>648</v>
      </c>
      <c r="F160" s="4" t="s">
        <v>71</v>
      </c>
      <c r="G160" s="4" t="n">
        <v>2.75</v>
      </c>
      <c r="H160" s="4"/>
      <c r="I160" s="4" t="n">
        <v>0</v>
      </c>
      <c r="J160" s="4" t="n">
        <v>22.5</v>
      </c>
      <c r="K160" s="4" t="n">
        <v>30</v>
      </c>
      <c r="L160" s="4" t="n">
        <v>37.5</v>
      </c>
      <c r="M160" s="4" t="n">
        <v>45</v>
      </c>
      <c r="N160" s="4" t="n">
        <v>52.5</v>
      </c>
      <c r="O160" s="9" t="n">
        <f aca="false">MAX(1,MIN(5,1+INT(IFERROR(INDEX(Calculator!$E$6:$E$23,MATCH("BLD",Calculator!$A$6:$A$23,0)),0)/20)))</f>
        <v>1</v>
      </c>
      <c r="P160" s="24" t="n">
        <f aca="false">INDEX(J160:N160,O160)*(1+(IFERROR(G160/10*INDEX(Calculator!$E$6:$E$23,MATCH(F160,Calculator!$A$6:$A$23,0))/100,0)+IFERROR(I160/10*INDEX(Calculator!$E$6:$E$23,MATCH(H160,Calculator!$A$6:$A$23,0))/100,0))*(1+Constants!$B$25*Calculator!$C$28))*(1+Calculator!$C$45)*(1-(1-MIN(0.5,Constants!$B$26*Calculator!$C$28))*Constants!$B$6)</f>
        <v>20.941875</v>
      </c>
    </row>
    <row r="161" customFormat="false" ht="15" hidden="false" customHeight="false" outlineLevel="0" collapsed="false">
      <c r="A161" s="4" t="s">
        <v>2605</v>
      </c>
      <c r="B161" s="4" t="s">
        <v>43</v>
      </c>
      <c r="C161" s="4" t="s">
        <v>2426</v>
      </c>
      <c r="D161" s="4" t="s">
        <v>2427</v>
      </c>
      <c r="E161" s="4" t="s">
        <v>1399</v>
      </c>
      <c r="F161" s="4"/>
      <c r="G161" s="4" t="n">
        <v>0</v>
      </c>
      <c r="H161" s="4"/>
      <c r="I161" s="4" t="n">
        <v>0</v>
      </c>
      <c r="J161" s="4"/>
      <c r="K161" s="4"/>
      <c r="L161" s="4"/>
      <c r="M161" s="4"/>
      <c r="N161" s="4"/>
    </row>
    <row r="162" customFormat="false" ht="15" hidden="false" customHeight="false" outlineLevel="0" collapsed="false">
      <c r="A162" s="4" t="s">
        <v>2606</v>
      </c>
      <c r="B162" s="4" t="s">
        <v>59</v>
      </c>
      <c r="C162" s="4" t="s">
        <v>2422</v>
      </c>
      <c r="D162" s="4" t="s">
        <v>2427</v>
      </c>
      <c r="E162" s="4" t="s">
        <v>1154</v>
      </c>
      <c r="F162" s="4" t="s">
        <v>59</v>
      </c>
      <c r="G162" s="4" t="n">
        <v>2.75</v>
      </c>
      <c r="H162" s="4"/>
      <c r="I162" s="4" t="n">
        <v>0</v>
      </c>
      <c r="J162" s="4" t="n">
        <v>74</v>
      </c>
      <c r="K162" s="4" t="n">
        <v>81.4</v>
      </c>
      <c r="L162" s="4" t="n">
        <v>88.8</v>
      </c>
      <c r="M162" s="4" t="n">
        <v>96.2</v>
      </c>
      <c r="N162" s="4" t="n">
        <v>103.6</v>
      </c>
      <c r="O162" s="9" t="n">
        <f aca="false">MAX(1,MIN(5,1+INT(IFERROR(INDEX(Calculator!$E$6:$E$23,MATCH("FLM",Calculator!$A$6:$A$23,0)),0)/20)))</f>
        <v>1</v>
      </c>
      <c r="P162" s="24" t="n">
        <f aca="false">INDEX(J162:N162,O162)*(1+(IFERROR(G162/10*INDEX(Calculator!$E$6:$E$23,MATCH(F162,Calculator!$A$6:$A$23,0))/100,0)+IFERROR(I162/10*INDEX(Calculator!$E$6:$E$23,MATCH(H162,Calculator!$A$6:$A$23,0))/100,0))*(1+Constants!$B$25*Calculator!$C$28))*(1+Calculator!$C$45)*(1-(1-MIN(0.5,Constants!$B$26*Calculator!$C$28))*Constants!$B$6)</f>
        <v>68.8755</v>
      </c>
    </row>
    <row r="163" customFormat="false" ht="15" hidden="false" customHeight="false" outlineLevel="0" collapsed="false">
      <c r="A163" s="4" t="s">
        <v>2607</v>
      </c>
      <c r="B163" s="4" t="s">
        <v>1794</v>
      </c>
      <c r="C163" s="4" t="s">
        <v>2422</v>
      </c>
      <c r="D163" s="4" t="s">
        <v>2432</v>
      </c>
      <c r="E163" s="4" t="s">
        <v>772</v>
      </c>
      <c r="F163" s="4"/>
      <c r="G163" s="4" t="n">
        <v>0</v>
      </c>
      <c r="H163" s="4"/>
      <c r="I163" s="4" t="n">
        <v>0</v>
      </c>
      <c r="J163" s="4"/>
      <c r="K163" s="4"/>
      <c r="L163" s="4"/>
      <c r="M163" s="4"/>
      <c r="N163" s="4"/>
    </row>
    <row r="164" customFormat="false" ht="15" hidden="false" customHeight="false" outlineLevel="0" collapsed="false">
      <c r="A164" s="4" t="s">
        <v>2608</v>
      </c>
      <c r="B164" s="4" t="s">
        <v>45</v>
      </c>
      <c r="C164" s="4" t="s">
        <v>2422</v>
      </c>
      <c r="D164" s="4" t="s">
        <v>2427</v>
      </c>
      <c r="E164" s="4" t="s">
        <v>2609</v>
      </c>
      <c r="F164" s="4" t="s">
        <v>45</v>
      </c>
      <c r="G164" s="4" t="n">
        <v>1.65</v>
      </c>
      <c r="H164" s="4"/>
      <c r="I164" s="4" t="n">
        <v>0</v>
      </c>
      <c r="J164" s="4" t="n">
        <v>12</v>
      </c>
      <c r="K164" s="4" t="n">
        <v>13</v>
      </c>
      <c r="L164" s="4" t="n">
        <v>14</v>
      </c>
      <c r="M164" s="4" t="n">
        <v>15</v>
      </c>
      <c r="N164" s="4" t="n">
        <v>16</v>
      </c>
      <c r="O164" s="9" t="n">
        <f aca="false">MAX(1,MIN(5,1+INT(IFERROR(INDEX(Calculator!$E$6:$E$23,MATCH("AGL",Calculator!$A$6:$A$23,0)),0)/20)))</f>
        <v>2</v>
      </c>
      <c r="P164" s="24" t="n">
        <f aca="false">INDEX(J164:N164,O164)*(1+(IFERROR(G164/10*INDEX(Calculator!$E$6:$E$23,MATCH(F164,Calculator!$A$6:$A$23,0))/100,0)+IFERROR(I164/10*INDEX(Calculator!$E$6:$E$23,MATCH(H164,Calculator!$A$6:$A$23,0))/100,0))*(1+Constants!$B$25*Calculator!$C$28))*(1+Calculator!$C$45)*(1-(1-MIN(0.5,Constants!$B$26*Calculator!$C$28))*Constants!$B$6)</f>
        <v>12.6531683655</v>
      </c>
    </row>
    <row r="165" customFormat="false" ht="15" hidden="false" customHeight="false" outlineLevel="0" collapsed="false">
      <c r="A165" s="4" t="s">
        <v>2610</v>
      </c>
      <c r="B165" s="4" t="s">
        <v>1811</v>
      </c>
      <c r="C165" s="4" t="s">
        <v>2422</v>
      </c>
      <c r="D165" s="4" t="s">
        <v>2432</v>
      </c>
      <c r="E165" s="4" t="s">
        <v>1277</v>
      </c>
      <c r="F165" s="4"/>
      <c r="G165" s="4" t="n">
        <v>0</v>
      </c>
      <c r="H165" s="4"/>
      <c r="I165" s="4" t="n">
        <v>0</v>
      </c>
      <c r="J165" s="4"/>
      <c r="K165" s="4"/>
      <c r="L165" s="4"/>
      <c r="M165" s="4"/>
      <c r="N165" s="4"/>
    </row>
    <row r="166" customFormat="false" ht="15" hidden="false" customHeight="false" outlineLevel="0" collapsed="false">
      <c r="A166" s="4" t="s">
        <v>2611</v>
      </c>
      <c r="B166" s="4" t="s">
        <v>59</v>
      </c>
      <c r="C166" s="4" t="s">
        <v>2422</v>
      </c>
      <c r="D166" s="4" t="s">
        <v>2427</v>
      </c>
      <c r="E166" s="4" t="s">
        <v>1154</v>
      </c>
      <c r="F166" s="4" t="s">
        <v>59</v>
      </c>
      <c r="G166" s="4" t="n">
        <v>2.75</v>
      </c>
      <c r="H166" s="4"/>
      <c r="I166" s="4" t="n">
        <v>0</v>
      </c>
      <c r="J166" s="4" t="n">
        <v>20</v>
      </c>
      <c r="K166" s="4" t="n">
        <v>23</v>
      </c>
      <c r="L166" s="4" t="n">
        <v>26</v>
      </c>
      <c r="M166" s="4" t="n">
        <v>29</v>
      </c>
      <c r="N166" s="4" t="n">
        <v>32</v>
      </c>
      <c r="O166" s="9" t="n">
        <f aca="false">MAX(1,MIN(5,1+INT(IFERROR(INDEX(Calculator!$E$6:$E$23,MATCH("FLM",Calculator!$A$6:$A$23,0)),0)/20)))</f>
        <v>1</v>
      </c>
      <c r="P166" s="24" t="n">
        <f aca="false">INDEX(J166:N166,O166)*(1+(IFERROR(G166/10*INDEX(Calculator!$E$6:$E$23,MATCH(F166,Calculator!$A$6:$A$23,0))/100,0)+IFERROR(I166/10*INDEX(Calculator!$E$6:$E$23,MATCH(H166,Calculator!$A$6:$A$23,0))/100,0))*(1+Constants!$B$25*Calculator!$C$28))*(1+Calculator!$C$45)*(1-(1-MIN(0.5,Constants!$B$26*Calculator!$C$28))*Constants!$B$6)</f>
        <v>18.615</v>
      </c>
    </row>
    <row r="167" customFormat="false" ht="15" hidden="false" customHeight="false" outlineLevel="0" collapsed="false">
      <c r="A167" s="4" t="s">
        <v>2612</v>
      </c>
      <c r="B167" s="4" t="s">
        <v>61</v>
      </c>
      <c r="C167" s="4" t="s">
        <v>2422</v>
      </c>
      <c r="D167" s="4" t="s">
        <v>2427</v>
      </c>
      <c r="E167" s="4" t="s">
        <v>804</v>
      </c>
      <c r="F167" s="4" t="s">
        <v>61</v>
      </c>
      <c r="G167" s="4" t="n">
        <v>2.75</v>
      </c>
      <c r="H167" s="4"/>
      <c r="I167" s="4" t="n">
        <v>0</v>
      </c>
      <c r="J167" s="4" t="n">
        <v>41.5</v>
      </c>
      <c r="K167" s="4" t="n">
        <v>45.65</v>
      </c>
      <c r="L167" s="4" t="n">
        <v>49.8</v>
      </c>
      <c r="M167" s="4" t="n">
        <v>53.95</v>
      </c>
      <c r="N167" s="4" t="n">
        <v>58.1</v>
      </c>
      <c r="O167" s="9" t="n">
        <f aca="false">MAX(1,MIN(5,1+INT(IFERROR(INDEX(Calculator!$E$6:$E$23,MATCH("ICE",Calculator!$A$6:$A$23,0)),0)/20)))</f>
        <v>1</v>
      </c>
      <c r="P167" s="24" t="n">
        <f aca="false">INDEX(J167:N167,O167)*(1+(IFERROR(G167/10*INDEX(Calculator!$E$6:$E$23,MATCH(F167,Calculator!$A$6:$A$23,0))/100,0)+IFERROR(I167/10*INDEX(Calculator!$E$6:$E$23,MATCH(H167,Calculator!$A$6:$A$23,0))/100,0))*(1+Constants!$B$25*Calculator!$C$28))*(1+Calculator!$C$45)*(1-(1-MIN(0.5,Constants!$B$26*Calculator!$C$28))*Constants!$B$6)</f>
        <v>38.626125</v>
      </c>
    </row>
    <row r="168" customFormat="false" ht="15" hidden="false" customHeight="false" outlineLevel="0" collapsed="false">
      <c r="A168" s="4" t="s">
        <v>2613</v>
      </c>
      <c r="B168" s="4" t="s">
        <v>67</v>
      </c>
      <c r="C168" s="4" t="s">
        <v>2422</v>
      </c>
      <c r="D168" s="4" t="s">
        <v>2427</v>
      </c>
      <c r="E168" s="4" t="s">
        <v>1168</v>
      </c>
      <c r="F168" s="4" t="s">
        <v>67</v>
      </c>
      <c r="G168" s="4" t="n">
        <v>2.75</v>
      </c>
      <c r="H168" s="4"/>
      <c r="I168" s="4" t="n">
        <v>0</v>
      </c>
      <c r="J168" s="4" t="n">
        <v>15</v>
      </c>
      <c r="K168" s="4" t="n">
        <v>18</v>
      </c>
      <c r="L168" s="4" t="n">
        <v>21</v>
      </c>
      <c r="M168" s="4" t="n">
        <v>24</v>
      </c>
      <c r="N168" s="4" t="n">
        <v>27</v>
      </c>
      <c r="O168" s="9" t="n">
        <f aca="false">MAX(1,MIN(5,1+INT(IFERROR(INDEX(Calculator!$E$6:$E$23,MATCH("SDW",Calculator!$A$6:$A$23,0)),0)/20)))</f>
        <v>1</v>
      </c>
      <c r="P168" s="24" t="n">
        <f aca="false">INDEX(J168:N168,O168)*(1+(IFERROR(G168/10*INDEX(Calculator!$E$6:$E$23,MATCH(F168,Calculator!$A$6:$A$23,0))/100,0)+IFERROR(I168/10*INDEX(Calculator!$E$6:$E$23,MATCH(H168,Calculator!$A$6:$A$23,0))/100,0))*(1+Constants!$B$25*Calculator!$C$28))*(1+Calculator!$C$45)*(1-(1-MIN(0.5,Constants!$B$26*Calculator!$C$28))*Constants!$B$6)</f>
        <v>13.96125</v>
      </c>
    </row>
    <row r="169" customFormat="false" ht="15" hidden="false" customHeight="false" outlineLevel="0" collapsed="false">
      <c r="A169" s="4" t="s">
        <v>124</v>
      </c>
      <c r="B169" s="4" t="s">
        <v>63</v>
      </c>
      <c r="C169" s="4" t="s">
        <v>2422</v>
      </c>
      <c r="D169" s="4" t="s">
        <v>2427</v>
      </c>
      <c r="E169" s="4" t="s">
        <v>753</v>
      </c>
      <c r="F169" s="4" t="s">
        <v>63</v>
      </c>
      <c r="G169" s="4" t="n">
        <v>2.75</v>
      </c>
      <c r="H169" s="4"/>
      <c r="I169" s="4" t="n">
        <v>0</v>
      </c>
      <c r="J169" s="4" t="n">
        <v>35</v>
      </c>
      <c r="K169" s="4" t="n">
        <v>41.3</v>
      </c>
      <c r="L169" s="4" t="n">
        <v>47.6</v>
      </c>
      <c r="M169" s="4" t="n">
        <v>53.9</v>
      </c>
      <c r="N169" s="4" t="n">
        <v>60.2</v>
      </c>
      <c r="O169" s="9" t="n">
        <f aca="false">MAX(1,MIN(5,1+INT(IFERROR(INDEX(Calculator!$E$6:$E$23,MATCH("LTN",Calculator!$A$6:$A$23,0)),0)/20)))</f>
        <v>2</v>
      </c>
      <c r="P169" s="24" t="n">
        <f aca="false">INDEX(J169:N169,O169)*(1+(IFERROR(G169/10*INDEX(Calculator!$E$6:$E$23,MATCH(F169,Calculator!$A$6:$A$23,0))/100,0)+IFERROR(I169/10*INDEX(Calculator!$E$6:$E$23,MATCH(H169,Calculator!$A$6:$A$23,0))/100,0))*(1+Constants!$B$25*Calculator!$C$28))*(1+Calculator!$C$45)*(1-(1-MIN(0.5,Constants!$B$26*Calculator!$C$28))*Constants!$B$6)</f>
        <v>41.37025429425</v>
      </c>
    </row>
    <row r="170" customFormat="false" ht="15" hidden="false" customHeight="false" outlineLevel="0" collapsed="false">
      <c r="A170" s="4" t="s">
        <v>2614</v>
      </c>
      <c r="B170" s="4" t="s">
        <v>65</v>
      </c>
      <c r="C170" s="4" t="s">
        <v>2422</v>
      </c>
      <c r="D170" s="4" t="s">
        <v>2427</v>
      </c>
      <c r="E170" s="4" t="s">
        <v>696</v>
      </c>
      <c r="F170" s="4" t="s">
        <v>65</v>
      </c>
      <c r="G170" s="4" t="n">
        <v>5</v>
      </c>
      <c r="H170" s="4"/>
      <c r="I170" s="4" t="n">
        <v>0</v>
      </c>
      <c r="J170" s="4" t="n">
        <v>30</v>
      </c>
      <c r="K170" s="4" t="n">
        <v>34.5</v>
      </c>
      <c r="L170" s="4" t="n">
        <v>39</v>
      </c>
      <c r="M170" s="4" t="n">
        <v>43.5</v>
      </c>
      <c r="N170" s="4" t="n">
        <v>48</v>
      </c>
      <c r="O170" s="9" t="n">
        <f aca="false">MAX(1,MIN(5,1+INT(IFERROR(INDEX(Calculator!$E$6:$E$23,MATCH("WND",Calculator!$A$6:$A$23,0)),0)/20)))</f>
        <v>1</v>
      </c>
      <c r="P170" s="24" t="n">
        <f aca="false">INDEX(J170:N170,O170)*(1+(IFERROR(G170/10*INDEX(Calculator!$E$6:$E$23,MATCH(F170,Calculator!$A$6:$A$23,0))/100,0)+IFERROR(I170/10*INDEX(Calculator!$E$6:$E$23,MATCH(H170,Calculator!$A$6:$A$23,0))/100,0))*(1+Constants!$B$25*Calculator!$C$28))*(1+Calculator!$C$45)*(1-(1-MIN(0.5,Constants!$B$26*Calculator!$C$28))*Constants!$B$6)</f>
        <v>27.9225</v>
      </c>
    </row>
    <row r="171" customFormat="false" ht="15" hidden="false" customHeight="false" outlineLevel="0" collapsed="false">
      <c r="A171" s="4" t="s">
        <v>2615</v>
      </c>
      <c r="B171" s="4" t="s">
        <v>69</v>
      </c>
      <c r="C171" s="4" t="s">
        <v>2422</v>
      </c>
      <c r="D171" s="4" t="s">
        <v>2427</v>
      </c>
      <c r="E171" s="4" t="s">
        <v>1694</v>
      </c>
      <c r="F171" s="4" t="s">
        <v>69</v>
      </c>
      <c r="G171" s="4" t="n">
        <v>2.75</v>
      </c>
      <c r="H171" s="4"/>
      <c r="I171" s="4" t="n">
        <v>0</v>
      </c>
      <c r="J171" s="4" t="n">
        <v>19.5</v>
      </c>
      <c r="K171" s="4" t="n">
        <v>26</v>
      </c>
      <c r="L171" s="4" t="n">
        <v>32.5</v>
      </c>
      <c r="M171" s="4" t="n">
        <v>39</v>
      </c>
      <c r="N171" s="4" t="n">
        <v>45.5</v>
      </c>
      <c r="O171" s="9" t="n">
        <f aca="false">MAX(1,MIN(5,1+INT(IFERROR(INDEX(Calculator!$E$6:$E$23,MATCH("IRN",Calculator!$A$6:$A$23,0)),0)/20)))</f>
        <v>5</v>
      </c>
      <c r="P171" s="24" t="n">
        <f aca="false">INDEX(J171:N171,O171)*(1+(IFERROR(G171/10*INDEX(Calculator!$E$6:$E$23,MATCH(F171,Calculator!$A$6:$A$23,0))/100,0)+IFERROR(I171/10*INDEX(Calculator!$E$6:$E$23,MATCH(H171,Calculator!$A$6:$A$23,0))/100,0))*(1+Constants!$B$25*Calculator!$C$28))*(1+Calculator!$C$45)*(1-(1-MIN(0.5,Constants!$B$26*Calculator!$C$28))*Constants!$B$6)</f>
        <v>55.55569963125</v>
      </c>
    </row>
    <row r="172" customFormat="false" ht="15" hidden="false" customHeight="false" outlineLevel="0" collapsed="false">
      <c r="A172" s="4" t="s">
        <v>2616</v>
      </c>
      <c r="B172" s="4" t="s">
        <v>1794</v>
      </c>
      <c r="C172" s="4" t="s">
        <v>2422</v>
      </c>
      <c r="D172" s="4" t="s">
        <v>2432</v>
      </c>
      <c r="E172" s="4" t="s">
        <v>772</v>
      </c>
      <c r="F172" s="4"/>
      <c r="G172" s="4" t="n">
        <v>0</v>
      </c>
      <c r="H172" s="4"/>
      <c r="I172" s="4" t="n">
        <v>0</v>
      </c>
      <c r="J172" s="4"/>
      <c r="K172" s="4"/>
      <c r="L172" s="4"/>
      <c r="M172" s="4"/>
      <c r="N172" s="4"/>
    </row>
    <row r="173" customFormat="false" ht="15" hidden="false" customHeight="false" outlineLevel="0" collapsed="false">
      <c r="A173" s="4" t="s">
        <v>2617</v>
      </c>
      <c r="B173" s="4" t="s">
        <v>71</v>
      </c>
      <c r="C173" s="4" t="s">
        <v>2429</v>
      </c>
      <c r="D173" s="4" t="s">
        <v>2427</v>
      </c>
      <c r="E173" s="4" t="s">
        <v>385</v>
      </c>
      <c r="F173" s="4" t="s">
        <v>71</v>
      </c>
      <c r="G173" s="4" t="n">
        <v>2.75</v>
      </c>
      <c r="H173" s="4"/>
      <c r="I173" s="4" t="n">
        <v>0</v>
      </c>
      <c r="J173" s="4" t="n">
        <v>24</v>
      </c>
      <c r="K173" s="4" t="n">
        <v>28</v>
      </c>
      <c r="L173" s="4" t="n">
        <v>32</v>
      </c>
      <c r="M173" s="4" t="n">
        <v>36</v>
      </c>
      <c r="N173" s="4" t="n">
        <v>40</v>
      </c>
      <c r="O173" s="9" t="n">
        <f aca="false">MAX(1,MIN(5,1+INT(IFERROR(INDEX(Calculator!$E$6:$E$23,MATCH("BLD",Calculator!$A$6:$A$23,0)),0)/20)))</f>
        <v>1</v>
      </c>
      <c r="P173" s="24" t="n">
        <f aca="false">INDEX(J173:N173,O173)*(1+(IFERROR(G173/10*INDEX(Calculator!$E$6:$E$23,MATCH(F173,Calculator!$A$6:$A$23,0))/100,0)+IFERROR(I173/10*INDEX(Calculator!$E$6:$E$23,MATCH(H173,Calculator!$A$6:$A$23,0))/100,0))*(1+Constants!$B$25*Calculator!$C$28))*(1+Calculator!$C$45)*(1-(1-MIN(0.5,Constants!$B$26*Calculator!$C$28))*Constants!$B$6)</f>
        <v>22.338</v>
      </c>
    </row>
    <row r="174" customFormat="false" ht="15" hidden="false" customHeight="false" outlineLevel="0" collapsed="false">
      <c r="A174" s="4" t="s">
        <v>2618</v>
      </c>
      <c r="B174" s="4" t="s">
        <v>71</v>
      </c>
      <c r="C174" s="4" t="s">
        <v>2422</v>
      </c>
      <c r="D174" s="4" t="s">
        <v>2427</v>
      </c>
      <c r="E174" s="4" t="s">
        <v>648</v>
      </c>
      <c r="F174" s="4" t="s">
        <v>71</v>
      </c>
      <c r="G174" s="4" t="n">
        <v>2.75</v>
      </c>
      <c r="H174" s="4"/>
      <c r="I174" s="4" t="n">
        <v>0</v>
      </c>
      <c r="J174" s="4" t="n">
        <v>17</v>
      </c>
      <c r="K174" s="4" t="n">
        <v>25.5</v>
      </c>
      <c r="L174" s="4" t="n">
        <v>34</v>
      </c>
      <c r="M174" s="4" t="n">
        <v>42.5</v>
      </c>
      <c r="N174" s="4" t="n">
        <v>51</v>
      </c>
      <c r="O174" s="9" t="n">
        <f aca="false">MAX(1,MIN(5,1+INT(IFERROR(INDEX(Calculator!$E$6:$E$23,MATCH("BLD",Calculator!$A$6:$A$23,0)),0)/20)))</f>
        <v>1</v>
      </c>
      <c r="P174" s="24" t="n">
        <f aca="false">INDEX(J174:N174,O174)*(1+(IFERROR(G174/10*INDEX(Calculator!$E$6:$E$23,MATCH(F174,Calculator!$A$6:$A$23,0))/100,0)+IFERROR(I174/10*INDEX(Calculator!$E$6:$E$23,MATCH(H174,Calculator!$A$6:$A$23,0))/100,0))*(1+Constants!$B$25*Calculator!$C$28))*(1+Calculator!$C$45)*(1-(1-MIN(0.5,Constants!$B$26*Calculator!$C$28))*Constants!$B$6)</f>
        <v>15.82275</v>
      </c>
    </row>
    <row r="175" customFormat="false" ht="15" hidden="false" customHeight="false" outlineLevel="0" collapsed="false">
      <c r="A175" s="4" t="s">
        <v>2619</v>
      </c>
      <c r="B175" s="4" t="s">
        <v>71</v>
      </c>
      <c r="C175" s="4" t="s">
        <v>2422</v>
      </c>
      <c r="D175" s="4" t="s">
        <v>2427</v>
      </c>
      <c r="E175" s="4" t="s">
        <v>648</v>
      </c>
      <c r="F175" s="4" t="s">
        <v>71</v>
      </c>
      <c r="G175" s="4" t="n">
        <v>2.75</v>
      </c>
      <c r="H175" s="4"/>
      <c r="I175" s="4" t="n">
        <v>0</v>
      </c>
      <c r="J175" s="4" t="n">
        <v>70</v>
      </c>
      <c r="K175" s="4" t="n">
        <v>85</v>
      </c>
      <c r="L175" s="4" t="n">
        <v>100</v>
      </c>
      <c r="M175" s="4" t="n">
        <v>115</v>
      </c>
      <c r="N175" s="4" t="n">
        <v>130</v>
      </c>
      <c r="O175" s="9" t="n">
        <f aca="false">MAX(1,MIN(5,1+INT(IFERROR(INDEX(Calculator!$E$6:$E$23,MATCH("BLD",Calculator!$A$6:$A$23,0)),0)/20)))</f>
        <v>1</v>
      </c>
      <c r="P175" s="24" t="n">
        <f aca="false">INDEX(J175:N175,O175)*(1+(IFERROR(G175/10*INDEX(Calculator!$E$6:$E$23,MATCH(F175,Calculator!$A$6:$A$23,0))/100,0)+IFERROR(I175/10*INDEX(Calculator!$E$6:$E$23,MATCH(H175,Calculator!$A$6:$A$23,0))/100,0))*(1+Constants!$B$25*Calculator!$C$28))*(1+Calculator!$C$45)*(1-(1-MIN(0.5,Constants!$B$26*Calculator!$C$28))*Constants!$B$6)</f>
        <v>65.1525</v>
      </c>
    </row>
    <row r="176" customFormat="false" ht="15" hidden="false" customHeight="false" outlineLevel="0" collapsed="false">
      <c r="A176" s="4" t="s">
        <v>2620</v>
      </c>
      <c r="B176" s="4" t="s">
        <v>59</v>
      </c>
      <c r="C176" s="4" t="s">
        <v>2422</v>
      </c>
      <c r="D176" s="4" t="s">
        <v>2427</v>
      </c>
      <c r="E176" s="4" t="s">
        <v>390</v>
      </c>
      <c r="F176" s="4" t="s">
        <v>59</v>
      </c>
      <c r="G176" s="4" t="n">
        <v>2.75</v>
      </c>
      <c r="H176" s="4"/>
      <c r="I176" s="4" t="n">
        <v>0</v>
      </c>
      <c r="J176" s="4" t="n">
        <v>20</v>
      </c>
      <c r="K176" s="4" t="n">
        <v>25</v>
      </c>
      <c r="L176" s="4" t="n">
        <v>30</v>
      </c>
      <c r="M176" s="4" t="n">
        <v>35</v>
      </c>
      <c r="N176" s="4" t="n">
        <v>40</v>
      </c>
      <c r="O176" s="9" t="n">
        <f aca="false">MAX(1,MIN(5,1+INT(IFERROR(INDEX(Calculator!$E$6:$E$23,MATCH("FLM",Calculator!$A$6:$A$23,0)),0)/20)))</f>
        <v>1</v>
      </c>
      <c r="P176" s="24" t="n">
        <f aca="false">INDEX(J176:N176,O176)*(1+(IFERROR(G176/10*INDEX(Calculator!$E$6:$E$23,MATCH(F176,Calculator!$A$6:$A$23,0))/100,0)+IFERROR(I176/10*INDEX(Calculator!$E$6:$E$23,MATCH(H176,Calculator!$A$6:$A$23,0))/100,0))*(1+Constants!$B$25*Calculator!$C$28))*(1+Calculator!$C$45)*(1-(1-MIN(0.5,Constants!$B$26*Calculator!$C$28))*Constants!$B$6)</f>
        <v>18.615</v>
      </c>
    </row>
    <row r="177" customFormat="false" ht="15" hidden="false" customHeight="false" outlineLevel="0" collapsed="false">
      <c r="A177" s="4" t="s">
        <v>2621</v>
      </c>
      <c r="B177" s="4" t="s">
        <v>67</v>
      </c>
      <c r="C177" s="4" t="s">
        <v>2422</v>
      </c>
      <c r="D177" s="4" t="s">
        <v>2427</v>
      </c>
      <c r="E177" s="4" t="s">
        <v>1211</v>
      </c>
      <c r="F177" s="4" t="s">
        <v>67</v>
      </c>
      <c r="G177" s="4" t="n">
        <v>2.75</v>
      </c>
      <c r="H177" s="4"/>
      <c r="I177" s="4" t="n">
        <v>0</v>
      </c>
      <c r="J177" s="4" t="n">
        <v>22.5</v>
      </c>
      <c r="K177" s="4" t="n">
        <v>25.5</v>
      </c>
      <c r="L177" s="4" t="n">
        <v>28.5</v>
      </c>
      <c r="M177" s="4" t="n">
        <v>31.5</v>
      </c>
      <c r="N177" s="4" t="n">
        <v>34.5</v>
      </c>
      <c r="O177" s="9" t="n">
        <f aca="false">MAX(1,MIN(5,1+INT(IFERROR(INDEX(Calculator!$E$6:$E$23,MATCH("SDW",Calculator!$A$6:$A$23,0)),0)/20)))</f>
        <v>1</v>
      </c>
      <c r="P177" s="24" t="n">
        <f aca="false">INDEX(J177:N177,O177)*(1+(IFERROR(G177/10*INDEX(Calculator!$E$6:$E$23,MATCH(F177,Calculator!$A$6:$A$23,0))/100,0)+IFERROR(I177/10*INDEX(Calculator!$E$6:$E$23,MATCH(H177,Calculator!$A$6:$A$23,0))/100,0))*(1+Constants!$B$25*Calculator!$C$28))*(1+Calculator!$C$45)*(1-(1-MIN(0.5,Constants!$B$26*Calculator!$C$28))*Constants!$B$6)</f>
        <v>20.941875</v>
      </c>
    </row>
    <row r="178" customFormat="false" ht="15" hidden="false" customHeight="false" outlineLevel="0" collapsed="false">
      <c r="A178" s="4" t="s">
        <v>2622</v>
      </c>
      <c r="B178" s="4" t="s">
        <v>67</v>
      </c>
      <c r="C178" s="4" t="s">
        <v>2426</v>
      </c>
      <c r="D178" s="4" t="s">
        <v>2427</v>
      </c>
      <c r="E178" s="4" t="s">
        <v>410</v>
      </c>
      <c r="F178" s="4" t="s">
        <v>67</v>
      </c>
      <c r="G178" s="4" t="n">
        <v>2.75</v>
      </c>
      <c r="H178" s="4"/>
      <c r="I178" s="4" t="n">
        <v>0</v>
      </c>
      <c r="J178" s="4" t="n">
        <v>7</v>
      </c>
      <c r="K178" s="4" t="n">
        <v>8.65</v>
      </c>
      <c r="L178" s="4" t="n">
        <v>10.3</v>
      </c>
      <c r="M178" s="4" t="n">
        <v>11.95</v>
      </c>
      <c r="N178" s="4" t="n">
        <v>13.6</v>
      </c>
      <c r="O178" s="9" t="n">
        <f aca="false">MAX(1,MIN(5,1+INT(IFERROR(INDEX(Calculator!$E$6:$E$23,MATCH("SDW",Calculator!$A$6:$A$23,0)),0)/20)))</f>
        <v>1</v>
      </c>
      <c r="P178" s="24" t="n">
        <f aca="false">INDEX(J178:N178,O178)*(1+(IFERROR(G178/10*INDEX(Calculator!$E$6:$E$23,MATCH(F178,Calculator!$A$6:$A$23,0))/100,0)+IFERROR(I178/10*INDEX(Calculator!$E$6:$E$23,MATCH(H178,Calculator!$A$6:$A$23,0))/100,0))*(1+Constants!$B$25*Calculator!$C$28))*(1+Calculator!$C$45)*(1-(1-MIN(0.5,Constants!$B$26*Calculator!$C$28))*Constants!$B$6)</f>
        <v>6.51525</v>
      </c>
    </row>
    <row r="179" customFormat="false" ht="15" hidden="false" customHeight="false" outlineLevel="0" collapsed="false">
      <c r="A179" s="4" t="s">
        <v>2623</v>
      </c>
      <c r="B179" s="4" t="s">
        <v>67</v>
      </c>
      <c r="C179" s="4" t="s">
        <v>2429</v>
      </c>
      <c r="D179" s="4" t="s">
        <v>2427</v>
      </c>
      <c r="E179" s="4" t="s">
        <v>1168</v>
      </c>
      <c r="F179" s="4" t="s">
        <v>67</v>
      </c>
      <c r="G179" s="4" t="n">
        <v>2.75</v>
      </c>
      <c r="H179" s="4"/>
      <c r="I179" s="4" t="n">
        <v>0</v>
      </c>
      <c r="J179" s="4" t="n">
        <v>20</v>
      </c>
      <c r="K179" s="4" t="n">
        <v>21.5</v>
      </c>
      <c r="L179" s="4" t="n">
        <v>23</v>
      </c>
      <c r="M179" s="4" t="n">
        <v>24.5</v>
      </c>
      <c r="N179" s="4" t="n">
        <v>26</v>
      </c>
      <c r="O179" s="9" t="n">
        <f aca="false">MAX(1,MIN(5,1+INT(IFERROR(INDEX(Calculator!$E$6:$E$23,MATCH("SDW",Calculator!$A$6:$A$23,0)),0)/20)))</f>
        <v>1</v>
      </c>
      <c r="P179" s="24" t="n">
        <f aca="false">INDEX(J179:N179,O179)*(1+(IFERROR(G179/10*INDEX(Calculator!$E$6:$E$23,MATCH(F179,Calculator!$A$6:$A$23,0))/100,0)+IFERROR(I179/10*INDEX(Calculator!$E$6:$E$23,MATCH(H179,Calculator!$A$6:$A$23,0))/100,0))*(1+Constants!$B$25*Calculator!$C$28))*(1+Calculator!$C$45)*(1-(1-MIN(0.5,Constants!$B$26*Calculator!$C$28))*Constants!$B$6)</f>
        <v>18.615</v>
      </c>
    </row>
    <row r="180" customFormat="false" ht="15" hidden="false" customHeight="false" outlineLevel="0" collapsed="false">
      <c r="A180" s="4" t="s">
        <v>2624</v>
      </c>
      <c r="B180" s="4" t="s">
        <v>67</v>
      </c>
      <c r="C180" s="4" t="s">
        <v>2447</v>
      </c>
      <c r="D180" s="4" t="s">
        <v>2427</v>
      </c>
      <c r="E180" s="4" t="s">
        <v>1168</v>
      </c>
      <c r="F180" s="4"/>
      <c r="G180" s="4" t="n">
        <v>0</v>
      </c>
      <c r="H180" s="4"/>
      <c r="I180" s="4" t="n">
        <v>0</v>
      </c>
      <c r="J180" s="4"/>
      <c r="K180" s="4"/>
      <c r="L180" s="4"/>
      <c r="M180" s="4"/>
      <c r="N180" s="4"/>
    </row>
    <row r="181" customFormat="false" ht="15" hidden="false" customHeight="false" outlineLevel="0" collapsed="false">
      <c r="A181" s="4" t="s">
        <v>2625</v>
      </c>
      <c r="B181" s="4" t="s">
        <v>67</v>
      </c>
      <c r="C181" s="4" t="s">
        <v>2429</v>
      </c>
      <c r="D181" s="4" t="s">
        <v>2427</v>
      </c>
      <c r="E181" s="4" t="s">
        <v>1168</v>
      </c>
      <c r="F181" s="4" t="s">
        <v>67</v>
      </c>
      <c r="G181" s="4" t="n">
        <v>2.75</v>
      </c>
      <c r="H181" s="4"/>
      <c r="I181" s="4" t="n">
        <v>0</v>
      </c>
      <c r="J181" s="4" t="n">
        <v>8</v>
      </c>
      <c r="K181" s="4" t="n">
        <v>12</v>
      </c>
      <c r="L181" s="4" t="n">
        <v>24</v>
      </c>
      <c r="M181" s="4" t="n">
        <v>36</v>
      </c>
      <c r="N181" s="4" t="n">
        <v>48</v>
      </c>
      <c r="O181" s="9" t="n">
        <f aca="false">MAX(1,MIN(5,1+INT(IFERROR(INDEX(Calculator!$E$6:$E$23,MATCH("SDW",Calculator!$A$6:$A$23,0)),0)/20)))</f>
        <v>1</v>
      </c>
      <c r="P181" s="24" t="n">
        <f aca="false">INDEX(J181:N181,O181)*(1+(IFERROR(G181/10*INDEX(Calculator!$E$6:$E$23,MATCH(F181,Calculator!$A$6:$A$23,0))/100,0)+IFERROR(I181/10*INDEX(Calculator!$E$6:$E$23,MATCH(H181,Calculator!$A$6:$A$23,0))/100,0))*(1+Constants!$B$25*Calculator!$C$28))*(1+Calculator!$C$45)*(1-(1-MIN(0.5,Constants!$B$26*Calculator!$C$28))*Constants!$B$6)</f>
        <v>7.446</v>
      </c>
    </row>
    <row r="182" customFormat="false" ht="15" hidden="false" customHeight="false" outlineLevel="0" collapsed="false">
      <c r="A182" s="4" t="s">
        <v>2626</v>
      </c>
      <c r="B182" s="4" t="s">
        <v>67</v>
      </c>
      <c r="C182" s="4" t="s">
        <v>2422</v>
      </c>
      <c r="D182" s="4" t="s">
        <v>2427</v>
      </c>
      <c r="E182" s="4" t="s">
        <v>410</v>
      </c>
      <c r="F182" s="4" t="s">
        <v>67</v>
      </c>
      <c r="G182" s="4" t="n">
        <v>2.75</v>
      </c>
      <c r="H182" s="4"/>
      <c r="I182" s="4" t="n">
        <v>0</v>
      </c>
      <c r="J182" s="4" t="n">
        <v>31.5</v>
      </c>
      <c r="K182" s="4" t="n">
        <v>34.44</v>
      </c>
      <c r="L182" s="4" t="n">
        <v>37.38</v>
      </c>
      <c r="M182" s="4" t="n">
        <v>40.32</v>
      </c>
      <c r="N182" s="4" t="n">
        <v>43.26</v>
      </c>
      <c r="O182" s="9" t="n">
        <f aca="false">MAX(1,MIN(5,1+INT(IFERROR(INDEX(Calculator!$E$6:$E$23,MATCH("SDW",Calculator!$A$6:$A$23,0)),0)/20)))</f>
        <v>1</v>
      </c>
      <c r="P182" s="24" t="n">
        <f aca="false">INDEX(J182:N182,O182)*(1+(IFERROR(G182/10*INDEX(Calculator!$E$6:$E$23,MATCH(F182,Calculator!$A$6:$A$23,0))/100,0)+IFERROR(I182/10*INDEX(Calculator!$E$6:$E$23,MATCH(H182,Calculator!$A$6:$A$23,0))/100,0))*(1+Constants!$B$25*Calculator!$C$28))*(1+Calculator!$C$45)*(1-(1-MIN(0.5,Constants!$B$26*Calculator!$C$28))*Constants!$B$6)</f>
        <v>29.318625</v>
      </c>
    </row>
    <row r="183" customFormat="false" ht="15" hidden="false" customHeight="false" outlineLevel="0" collapsed="false">
      <c r="A183" s="4" t="s">
        <v>2627</v>
      </c>
      <c r="B183" s="4" t="s">
        <v>67</v>
      </c>
      <c r="C183" s="4" t="s">
        <v>2422</v>
      </c>
      <c r="D183" s="4" t="s">
        <v>2427</v>
      </c>
      <c r="E183" s="4" t="s">
        <v>410</v>
      </c>
      <c r="F183" s="4" t="s">
        <v>67</v>
      </c>
      <c r="G183" s="4" t="n">
        <v>2.75</v>
      </c>
      <c r="H183" s="4"/>
      <c r="I183" s="4" t="n">
        <v>0</v>
      </c>
      <c r="J183" s="4" t="n">
        <v>20</v>
      </c>
      <c r="K183" s="4" t="n">
        <v>21.5</v>
      </c>
      <c r="L183" s="4" t="n">
        <v>23</v>
      </c>
      <c r="M183" s="4" t="n">
        <v>24.5</v>
      </c>
      <c r="N183" s="4" t="n">
        <v>26</v>
      </c>
      <c r="O183" s="9" t="n">
        <f aca="false">MAX(1,MIN(5,1+INT(IFERROR(INDEX(Calculator!$E$6:$E$23,MATCH("SDW",Calculator!$A$6:$A$23,0)),0)/20)))</f>
        <v>1</v>
      </c>
      <c r="P183" s="24" t="n">
        <f aca="false">INDEX(J183:N183,O183)*(1+(IFERROR(G183/10*INDEX(Calculator!$E$6:$E$23,MATCH(F183,Calculator!$A$6:$A$23,0))/100,0)+IFERROR(I183/10*INDEX(Calculator!$E$6:$E$23,MATCH(H183,Calculator!$A$6:$A$23,0))/100,0))*(1+Constants!$B$25*Calculator!$C$28))*(1+Calculator!$C$45)*(1-(1-MIN(0.5,Constants!$B$26*Calculator!$C$28))*Constants!$B$6)</f>
        <v>18.615</v>
      </c>
    </row>
    <row r="184" customFormat="false" ht="15" hidden="false" customHeight="false" outlineLevel="0" collapsed="false">
      <c r="A184" s="4" t="s">
        <v>2628</v>
      </c>
      <c r="B184" s="4" t="s">
        <v>67</v>
      </c>
      <c r="C184" s="4" t="s">
        <v>2422</v>
      </c>
      <c r="D184" s="4" t="s">
        <v>2427</v>
      </c>
      <c r="E184" s="4" t="s">
        <v>2070</v>
      </c>
      <c r="F184" s="4" t="s">
        <v>67</v>
      </c>
      <c r="G184" s="4" t="n">
        <v>2.75</v>
      </c>
      <c r="H184" s="4"/>
      <c r="I184" s="4" t="n">
        <v>0</v>
      </c>
      <c r="J184" s="4" t="n">
        <v>25</v>
      </c>
      <c r="K184" s="4" t="n">
        <v>28</v>
      </c>
      <c r="L184" s="4" t="n">
        <v>31</v>
      </c>
      <c r="M184" s="4" t="n">
        <v>34</v>
      </c>
      <c r="N184" s="4" t="n">
        <v>37</v>
      </c>
      <c r="O184" s="9" t="n">
        <f aca="false">MAX(1,MIN(5,1+INT(IFERROR(INDEX(Calculator!$E$6:$E$23,MATCH("SDW",Calculator!$A$6:$A$23,0)),0)/20)))</f>
        <v>1</v>
      </c>
      <c r="P184" s="24" t="n">
        <f aca="false">INDEX(J184:N184,O184)*(1+(IFERROR(G184/10*INDEX(Calculator!$E$6:$E$23,MATCH(F184,Calculator!$A$6:$A$23,0))/100,0)+IFERROR(I184/10*INDEX(Calculator!$E$6:$E$23,MATCH(H184,Calculator!$A$6:$A$23,0))/100,0))*(1+Constants!$B$25*Calculator!$C$28))*(1+Calculator!$C$45)*(1-(1-MIN(0.5,Constants!$B$26*Calculator!$C$28))*Constants!$B$6)</f>
        <v>23.26875</v>
      </c>
    </row>
    <row r="185" customFormat="false" ht="15" hidden="false" customHeight="false" outlineLevel="0" collapsed="false">
      <c r="A185" s="4" t="s">
        <v>2629</v>
      </c>
      <c r="B185" s="4" t="s">
        <v>67</v>
      </c>
      <c r="C185" s="4" t="s">
        <v>2422</v>
      </c>
      <c r="D185" s="4" t="s">
        <v>2427</v>
      </c>
      <c r="E185" s="4" t="s">
        <v>1168</v>
      </c>
      <c r="F185" s="4" t="s">
        <v>67</v>
      </c>
      <c r="G185" s="4" t="n">
        <v>2.75</v>
      </c>
      <c r="H185" s="4"/>
      <c r="I185" s="4" t="n">
        <v>0</v>
      </c>
      <c r="J185" s="4" t="n">
        <v>20</v>
      </c>
      <c r="K185" s="4" t="n">
        <v>23</v>
      </c>
      <c r="L185" s="4" t="n">
        <v>26</v>
      </c>
      <c r="M185" s="4" t="n">
        <v>29</v>
      </c>
      <c r="N185" s="4" t="n">
        <v>32</v>
      </c>
      <c r="O185" s="9" t="n">
        <f aca="false">MAX(1,MIN(5,1+INT(IFERROR(INDEX(Calculator!$E$6:$E$23,MATCH("SDW",Calculator!$A$6:$A$23,0)),0)/20)))</f>
        <v>1</v>
      </c>
      <c r="P185" s="24" t="n">
        <f aca="false">INDEX(J185:N185,O185)*(1+(IFERROR(G185/10*INDEX(Calculator!$E$6:$E$23,MATCH(F185,Calculator!$A$6:$A$23,0))/100,0)+IFERROR(I185/10*INDEX(Calculator!$E$6:$E$23,MATCH(H185,Calculator!$A$6:$A$23,0))/100,0))*(1+Constants!$B$25*Calculator!$C$28))*(1+Calculator!$C$45)*(1-(1-MIN(0.5,Constants!$B$26*Calculator!$C$28))*Constants!$B$6)</f>
        <v>18.615</v>
      </c>
    </row>
    <row r="186" customFormat="false" ht="15" hidden="false" customHeight="false" outlineLevel="0" collapsed="false">
      <c r="A186" s="4" t="s">
        <v>2630</v>
      </c>
      <c r="B186" s="4" t="s">
        <v>67</v>
      </c>
      <c r="C186" s="4" t="s">
        <v>2422</v>
      </c>
      <c r="D186" s="4" t="s">
        <v>2427</v>
      </c>
      <c r="E186" s="4" t="s">
        <v>1168</v>
      </c>
      <c r="F186" s="4" t="s">
        <v>67</v>
      </c>
      <c r="G186" s="4" t="n">
        <v>2.75</v>
      </c>
      <c r="H186" s="4"/>
      <c r="I186" s="4" t="n">
        <v>0</v>
      </c>
      <c r="J186" s="4" t="n">
        <v>40</v>
      </c>
      <c r="K186" s="4" t="n">
        <v>48</v>
      </c>
      <c r="L186" s="4" t="n">
        <v>56</v>
      </c>
      <c r="M186" s="4" t="n">
        <v>64</v>
      </c>
      <c r="N186" s="4" t="n">
        <v>72</v>
      </c>
      <c r="O186" s="9" t="n">
        <f aca="false">MAX(1,MIN(5,1+INT(IFERROR(INDEX(Calculator!$E$6:$E$23,MATCH("SDW",Calculator!$A$6:$A$23,0)),0)/20)))</f>
        <v>1</v>
      </c>
      <c r="P186" s="24" t="n">
        <f aca="false">INDEX(J186:N186,O186)*(1+(IFERROR(G186/10*INDEX(Calculator!$E$6:$E$23,MATCH(F186,Calculator!$A$6:$A$23,0))/100,0)+IFERROR(I186/10*INDEX(Calculator!$E$6:$E$23,MATCH(H186,Calculator!$A$6:$A$23,0))/100,0))*(1+Constants!$B$25*Calculator!$C$28))*(1+Calculator!$C$45)*(1-(1-MIN(0.5,Constants!$B$26*Calculator!$C$28))*Constants!$B$6)</f>
        <v>37.23</v>
      </c>
    </row>
    <row r="187" customFormat="false" ht="15" hidden="false" customHeight="false" outlineLevel="0" collapsed="false">
      <c r="A187" s="4" t="s">
        <v>2631</v>
      </c>
      <c r="B187" s="4" t="s">
        <v>67</v>
      </c>
      <c r="C187" s="4" t="s">
        <v>2422</v>
      </c>
      <c r="D187" s="4" t="s">
        <v>2427</v>
      </c>
      <c r="E187" s="4" t="s">
        <v>410</v>
      </c>
      <c r="F187" s="4" t="s">
        <v>67</v>
      </c>
      <c r="G187" s="4" t="n">
        <v>2.75</v>
      </c>
      <c r="H187" s="4"/>
      <c r="I187" s="4" t="n">
        <v>0</v>
      </c>
      <c r="J187" s="4" t="n">
        <v>50</v>
      </c>
      <c r="K187" s="4" t="n">
        <v>55</v>
      </c>
      <c r="L187" s="4" t="n">
        <v>60</v>
      </c>
      <c r="M187" s="4" t="n">
        <v>65</v>
      </c>
      <c r="N187" s="4" t="n">
        <v>70</v>
      </c>
      <c r="O187" s="9" t="n">
        <f aca="false">MAX(1,MIN(5,1+INT(IFERROR(INDEX(Calculator!$E$6:$E$23,MATCH("SDW",Calculator!$A$6:$A$23,0)),0)/20)))</f>
        <v>1</v>
      </c>
      <c r="P187" s="24" t="n">
        <f aca="false">INDEX(J187:N187,O187)*(1+(IFERROR(G187/10*INDEX(Calculator!$E$6:$E$23,MATCH(F187,Calculator!$A$6:$A$23,0))/100,0)+IFERROR(I187/10*INDEX(Calculator!$E$6:$E$23,MATCH(H187,Calculator!$A$6:$A$23,0))/100,0))*(1+Constants!$B$25*Calculator!$C$28))*(1+Calculator!$C$45)*(1-(1-MIN(0.5,Constants!$B$26*Calculator!$C$28))*Constants!$B$6)</f>
        <v>46.5375</v>
      </c>
    </row>
    <row r="188" customFormat="false" ht="15" hidden="false" customHeight="false" outlineLevel="0" collapsed="false">
      <c r="A188" s="4" t="s">
        <v>2632</v>
      </c>
      <c r="B188" s="4" t="s">
        <v>67</v>
      </c>
      <c r="C188" s="4" t="s">
        <v>2422</v>
      </c>
      <c r="D188" s="4" t="s">
        <v>2427</v>
      </c>
      <c r="E188" s="4" t="s">
        <v>1211</v>
      </c>
      <c r="F188" s="4" t="s">
        <v>67</v>
      </c>
      <c r="G188" s="4" t="n">
        <v>2.75</v>
      </c>
      <c r="H188" s="4"/>
      <c r="I188" s="4" t="n">
        <v>0</v>
      </c>
      <c r="J188" s="4" t="n">
        <v>2</v>
      </c>
      <c r="K188" s="4" t="n">
        <v>3.6</v>
      </c>
      <c r="L188" s="4" t="n">
        <v>5.2</v>
      </c>
      <c r="M188" s="4" t="n">
        <v>6.8</v>
      </c>
      <c r="N188" s="4" t="n">
        <v>8.4</v>
      </c>
      <c r="O188" s="9" t="n">
        <f aca="false">MAX(1,MIN(5,1+INT(IFERROR(INDEX(Calculator!$E$6:$E$23,MATCH("SDW",Calculator!$A$6:$A$23,0)),0)/20)))</f>
        <v>1</v>
      </c>
      <c r="P188" s="24" t="n">
        <f aca="false">INDEX(J188:N188,O188)*(1+(IFERROR(G188/10*INDEX(Calculator!$E$6:$E$23,MATCH(F188,Calculator!$A$6:$A$23,0))/100,0)+IFERROR(I188/10*INDEX(Calculator!$E$6:$E$23,MATCH(H188,Calculator!$A$6:$A$23,0))/100,0))*(1+Constants!$B$25*Calculator!$C$28))*(1+Calculator!$C$45)*(1-(1-MIN(0.5,Constants!$B$26*Calculator!$C$28))*Constants!$B$6)</f>
        <v>1.8615</v>
      </c>
    </row>
    <row r="189" customFormat="false" ht="15" hidden="false" customHeight="false" outlineLevel="0" collapsed="false">
      <c r="A189" s="4" t="s">
        <v>2633</v>
      </c>
      <c r="B189" s="4" t="s">
        <v>43</v>
      </c>
      <c r="C189" s="4" t="s">
        <v>2422</v>
      </c>
      <c r="D189" s="4" t="s">
        <v>2427</v>
      </c>
      <c r="E189" s="4" t="s">
        <v>1521</v>
      </c>
      <c r="F189" s="4" t="s">
        <v>43</v>
      </c>
      <c r="G189" s="4" t="n">
        <v>1.65</v>
      </c>
      <c r="H189" s="4"/>
      <c r="I189" s="4" t="n">
        <v>0</v>
      </c>
      <c r="J189" s="4" t="n">
        <v>9.9</v>
      </c>
      <c r="K189" s="4" t="n">
        <v>13.05</v>
      </c>
      <c r="L189" s="4" t="n">
        <v>16.2</v>
      </c>
      <c r="M189" s="4" t="n">
        <v>19.35</v>
      </c>
      <c r="N189" s="4" t="n">
        <v>22.5</v>
      </c>
      <c r="O189" s="9" t="n">
        <f aca="false">MAX(1,MIN(5,1+INT(IFERROR(INDEX(Calculator!$E$6:$E$23,MATCH("FTD",Calculator!$A$6:$A$23,0)),0)/20)))</f>
        <v>2</v>
      </c>
      <c r="P189" s="24" t="n">
        <f aca="false">INDEX(J189:N189,O189)*(1+(IFERROR(G189/10*INDEX(Calculator!$E$6:$E$23,MATCH(F189,Calculator!$A$6:$A$23,0))/100,0)+IFERROR(I189/10*INDEX(Calculator!$E$6:$E$23,MATCH(H189,Calculator!$A$6:$A$23,0))/100,0))*(1+Constants!$B$25*Calculator!$C$28))*(1+Calculator!$C$45)*(1-(1-MIN(0.5,Constants!$B$26*Calculator!$C$28))*Constants!$B$6)</f>
        <v>12.7775907928125</v>
      </c>
    </row>
    <row r="190" customFormat="false" ht="15" hidden="false" customHeight="false" outlineLevel="0" collapsed="false">
      <c r="A190" s="4" t="s">
        <v>2634</v>
      </c>
      <c r="B190" s="4" t="s">
        <v>1791</v>
      </c>
      <c r="C190" s="4" t="s">
        <v>2422</v>
      </c>
      <c r="D190" s="4" t="s">
        <v>2432</v>
      </c>
      <c r="E190" s="4" t="s">
        <v>459</v>
      </c>
      <c r="F190" s="4"/>
      <c r="G190" s="4" t="n">
        <v>0</v>
      </c>
      <c r="H190" s="4"/>
      <c r="I190" s="4" t="n">
        <v>0</v>
      </c>
      <c r="J190" s="4"/>
      <c r="K190" s="4"/>
      <c r="L190" s="4"/>
      <c r="M190" s="4"/>
      <c r="N190" s="4"/>
    </row>
    <row r="191" customFormat="false" ht="15" hidden="false" customHeight="false" outlineLevel="0" collapsed="false">
      <c r="A191" s="4" t="s">
        <v>2635</v>
      </c>
      <c r="B191" s="4" t="s">
        <v>51</v>
      </c>
      <c r="C191" s="4" t="s">
        <v>2426</v>
      </c>
      <c r="D191" s="4" t="s">
        <v>2427</v>
      </c>
      <c r="E191" s="4" t="s">
        <v>790</v>
      </c>
      <c r="F191" s="4"/>
      <c r="G191" s="4" t="n">
        <v>0</v>
      </c>
      <c r="H191" s="4"/>
      <c r="I191" s="4" t="n">
        <v>0</v>
      </c>
      <c r="J191" s="4"/>
      <c r="K191" s="4"/>
      <c r="L191" s="4"/>
      <c r="M191" s="4"/>
      <c r="N191" s="4"/>
    </row>
    <row r="192" customFormat="false" ht="15" hidden="false" customHeight="false" outlineLevel="0" collapsed="false">
      <c r="A192" s="4" t="s">
        <v>2636</v>
      </c>
      <c r="B192" s="4" t="s">
        <v>1813</v>
      </c>
      <c r="C192" s="4" t="s">
        <v>2422</v>
      </c>
      <c r="D192" s="4" t="s">
        <v>2432</v>
      </c>
      <c r="E192" s="4" t="s">
        <v>971</v>
      </c>
      <c r="F192" s="4"/>
      <c r="G192" s="4" t="n">
        <v>0</v>
      </c>
      <c r="H192" s="4"/>
      <c r="I192" s="4" t="n">
        <v>0</v>
      </c>
      <c r="J192" s="4"/>
      <c r="K192" s="4"/>
      <c r="L192" s="4"/>
      <c r="M192" s="4"/>
      <c r="N192" s="4"/>
    </row>
    <row r="193" customFormat="false" ht="15" hidden="false" customHeight="false" outlineLevel="0" collapsed="false">
      <c r="A193" s="4" t="s">
        <v>2637</v>
      </c>
      <c r="B193" s="4" t="s">
        <v>1789</v>
      </c>
      <c r="C193" s="4" t="s">
        <v>2422</v>
      </c>
      <c r="D193" s="4" t="s">
        <v>2432</v>
      </c>
      <c r="E193" s="4" t="s">
        <v>478</v>
      </c>
      <c r="F193" s="4"/>
      <c r="G193" s="4" t="n">
        <v>0</v>
      </c>
      <c r="H193" s="4"/>
      <c r="I193" s="4" t="n">
        <v>0</v>
      </c>
      <c r="J193" s="4"/>
      <c r="K193" s="4"/>
      <c r="L193" s="4"/>
      <c r="M193" s="4"/>
      <c r="N193" s="4"/>
    </row>
    <row r="194" customFormat="false" ht="15" hidden="false" customHeight="false" outlineLevel="0" collapsed="false">
      <c r="A194" s="4" t="s">
        <v>2638</v>
      </c>
      <c r="B194" s="4" t="s">
        <v>41</v>
      </c>
      <c r="C194" s="4" t="s">
        <v>2422</v>
      </c>
      <c r="D194" s="4" t="s">
        <v>2427</v>
      </c>
      <c r="E194" s="4" t="s">
        <v>588</v>
      </c>
      <c r="F194" s="4" t="s">
        <v>41</v>
      </c>
      <c r="G194" s="4" t="n">
        <v>1.65</v>
      </c>
      <c r="H194" s="4"/>
      <c r="I194" s="4" t="n">
        <v>0</v>
      </c>
      <c r="J194" s="4" t="n">
        <v>40</v>
      </c>
      <c r="K194" s="4" t="n">
        <v>60</v>
      </c>
      <c r="L194" s="4" t="n">
        <v>80</v>
      </c>
      <c r="M194" s="4" t="n">
        <v>100</v>
      </c>
      <c r="N194" s="4" t="n">
        <v>120</v>
      </c>
      <c r="O194" s="9" t="n">
        <f aca="false">MAX(1,MIN(5,1+INT(IFERROR(INDEX(Calculator!$E$6:$E$23,MATCH("STR",Calculator!$A$6:$A$23,0)),0)/20)))</f>
        <v>2</v>
      </c>
      <c r="P194" s="24" t="n">
        <f aca="false">INDEX(J194:N194,O194)*(1+(IFERROR(G194/10*INDEX(Calculator!$E$6:$E$23,MATCH(F194,Calculator!$A$6:$A$23,0))/100,0)+IFERROR(I194/10*INDEX(Calculator!$E$6:$E$23,MATCH(H194,Calculator!$A$6:$A$23,0))/100,0))*(1+Constants!$B$25*Calculator!$C$28))*(1+Calculator!$C$45)*(1-(1-MIN(0.5,Constants!$B$26*Calculator!$C$28))*Constants!$B$6)</f>
        <v>58.39923861</v>
      </c>
    </row>
    <row r="195" customFormat="false" ht="15" hidden="false" customHeight="false" outlineLevel="0" collapsed="false">
      <c r="A195" s="4" t="s">
        <v>2639</v>
      </c>
      <c r="B195" s="4" t="s">
        <v>55</v>
      </c>
      <c r="C195" s="4" t="s">
        <v>2422</v>
      </c>
      <c r="D195" s="4" t="s">
        <v>2427</v>
      </c>
      <c r="E195" s="4" t="s">
        <v>2640</v>
      </c>
      <c r="F195" s="4" t="s">
        <v>55</v>
      </c>
      <c r="G195" s="4" t="n">
        <v>1.65</v>
      </c>
      <c r="H195" s="4"/>
      <c r="I195" s="4" t="n">
        <v>0</v>
      </c>
      <c r="J195" s="4" t="n">
        <v>19.1</v>
      </c>
      <c r="K195" s="4" t="n">
        <v>24.2</v>
      </c>
      <c r="L195" s="4" t="n">
        <v>29.3</v>
      </c>
      <c r="M195" s="4" t="n">
        <v>34.4</v>
      </c>
      <c r="N195" s="4" t="n">
        <v>39.5</v>
      </c>
      <c r="O195" s="9" t="n">
        <f aca="false">MAX(1,MIN(5,1+INT(IFERROR(INDEX(Calculator!$E$6:$E$23,MATCH("MED",Calculator!$A$6:$A$23,0)),0)/20)))</f>
        <v>5</v>
      </c>
      <c r="P195" s="24" t="n">
        <f aca="false">INDEX(J195:N195,O195)*(1+(IFERROR(G195/10*INDEX(Calculator!$E$6:$E$23,MATCH(F195,Calculator!$A$6:$A$23,0))/100,0)+IFERROR(I195/10*INDEX(Calculator!$E$6:$E$23,MATCH(H195,Calculator!$A$6:$A$23,0))/100,0))*(1+Constants!$B$25*Calculator!$C$28))*(1+Calculator!$C$45)*(1-(1-MIN(0.5,Constants!$B$26*Calculator!$C$28))*Constants!$B$6)</f>
        <v>43.7965212945</v>
      </c>
    </row>
    <row r="196" customFormat="false" ht="15" hidden="false" customHeight="false" outlineLevel="0" collapsed="false">
      <c r="A196" s="4" t="s">
        <v>2641</v>
      </c>
      <c r="B196" s="4" t="s">
        <v>1803</v>
      </c>
      <c r="C196" s="4" t="s">
        <v>2422</v>
      </c>
      <c r="D196" s="4" t="s">
        <v>2427</v>
      </c>
      <c r="E196" s="4" t="s">
        <v>2642</v>
      </c>
      <c r="F196" s="4"/>
      <c r="G196" s="4" t="n">
        <v>0</v>
      </c>
      <c r="H196" s="4"/>
      <c r="I196" s="4" t="n">
        <v>0</v>
      </c>
      <c r="J196" s="4"/>
      <c r="K196" s="4"/>
      <c r="L196" s="4"/>
      <c r="M196" s="4"/>
      <c r="N196" s="4"/>
    </row>
    <row r="197" customFormat="false" ht="15" hidden="false" customHeight="false" outlineLevel="0" collapsed="false">
      <c r="A197" s="4" t="s">
        <v>2643</v>
      </c>
      <c r="B197" s="4" t="s">
        <v>71</v>
      </c>
      <c r="C197" s="4" t="s">
        <v>2422</v>
      </c>
      <c r="D197" s="4" t="s">
        <v>2427</v>
      </c>
      <c r="E197" s="4" t="s">
        <v>648</v>
      </c>
      <c r="F197" s="4" t="s">
        <v>71</v>
      </c>
      <c r="G197" s="4" t="n">
        <v>2.75</v>
      </c>
      <c r="H197" s="4"/>
      <c r="I197" s="4" t="n">
        <v>0</v>
      </c>
      <c r="J197" s="4" t="n">
        <v>18.75</v>
      </c>
      <c r="K197" s="4" t="n">
        <v>25</v>
      </c>
      <c r="L197" s="4" t="n">
        <v>31.25</v>
      </c>
      <c r="M197" s="4" t="n">
        <v>37.5</v>
      </c>
      <c r="N197" s="4" t="n">
        <v>43.75</v>
      </c>
      <c r="O197" s="9" t="n">
        <f aca="false">MAX(1,MIN(5,1+INT(IFERROR(INDEX(Calculator!$E$6:$E$23,MATCH("BLD",Calculator!$A$6:$A$23,0)),0)/20)))</f>
        <v>1</v>
      </c>
      <c r="P197" s="24" t="n">
        <f aca="false">INDEX(J197:N197,O197)*(1+(IFERROR(G197/10*INDEX(Calculator!$E$6:$E$23,MATCH(F197,Calculator!$A$6:$A$23,0))/100,0)+IFERROR(I197/10*INDEX(Calculator!$E$6:$E$23,MATCH(H197,Calculator!$A$6:$A$23,0))/100,0))*(1+Constants!$B$25*Calculator!$C$28))*(1+Calculator!$C$45)*(1-(1-MIN(0.5,Constants!$B$26*Calculator!$C$28))*Constants!$B$6)</f>
        <v>17.4515625</v>
      </c>
    </row>
    <row r="198" customFormat="false" ht="15" hidden="false" customHeight="false" outlineLevel="0" collapsed="false">
      <c r="A198" s="4" t="s">
        <v>2644</v>
      </c>
      <c r="B198" s="4" t="s">
        <v>1789</v>
      </c>
      <c r="C198" s="4" t="s">
        <v>2422</v>
      </c>
      <c r="D198" s="4" t="s">
        <v>2432</v>
      </c>
      <c r="E198" s="4" t="s">
        <v>478</v>
      </c>
      <c r="F198" s="4"/>
      <c r="G198" s="4" t="n">
        <v>0</v>
      </c>
      <c r="H198" s="4"/>
      <c r="I198" s="4" t="n">
        <v>0</v>
      </c>
      <c r="J198" s="4"/>
      <c r="K198" s="4"/>
      <c r="L198" s="4"/>
      <c r="M198" s="4"/>
      <c r="N198" s="4"/>
    </row>
    <row r="199" customFormat="false" ht="15" hidden="false" customHeight="false" outlineLevel="0" collapsed="false">
      <c r="A199" s="4" t="s">
        <v>2645</v>
      </c>
      <c r="B199" s="4" t="s">
        <v>63</v>
      </c>
      <c r="C199" s="4" t="s">
        <v>2426</v>
      </c>
      <c r="D199" s="4" t="s">
        <v>2427</v>
      </c>
      <c r="E199" s="4" t="s">
        <v>753</v>
      </c>
      <c r="F199" s="4"/>
      <c r="G199" s="4" t="n">
        <v>0</v>
      </c>
      <c r="H199" s="4"/>
      <c r="I199" s="4" t="n">
        <v>0</v>
      </c>
      <c r="J199" s="4"/>
      <c r="K199" s="4"/>
      <c r="L199" s="4"/>
      <c r="M199" s="4"/>
      <c r="N199" s="4"/>
    </row>
    <row r="200" customFormat="false" ht="15" hidden="false" customHeight="false" outlineLevel="0" collapsed="false">
      <c r="A200" s="4" t="s">
        <v>2646</v>
      </c>
      <c r="B200" s="4" t="s">
        <v>63</v>
      </c>
      <c r="C200" s="4" t="s">
        <v>2422</v>
      </c>
      <c r="D200" s="4" t="s">
        <v>2427</v>
      </c>
      <c r="E200" s="4" t="s">
        <v>1172</v>
      </c>
      <c r="F200" s="4" t="s">
        <v>63</v>
      </c>
      <c r="G200" s="4" t="n">
        <v>2.75</v>
      </c>
      <c r="H200" s="4"/>
      <c r="I200" s="4" t="n">
        <v>0</v>
      </c>
      <c r="J200" s="4" t="n">
        <v>25</v>
      </c>
      <c r="K200" s="4" t="n">
        <v>27</v>
      </c>
      <c r="L200" s="4" t="n">
        <v>29</v>
      </c>
      <c r="M200" s="4" t="n">
        <v>31</v>
      </c>
      <c r="N200" s="4" t="n">
        <v>33</v>
      </c>
      <c r="O200" s="9" t="n">
        <f aca="false">MAX(1,MIN(5,1+INT(IFERROR(INDEX(Calculator!$E$6:$E$23,MATCH("LTN",Calculator!$A$6:$A$23,0)),0)/20)))</f>
        <v>2</v>
      </c>
      <c r="P200" s="24" t="n">
        <f aca="false">INDEX(J200:N200,O200)*(1+(IFERROR(G200/10*INDEX(Calculator!$E$6:$E$23,MATCH(F200,Calculator!$A$6:$A$23,0))/100,0)+IFERROR(I200/10*INDEX(Calculator!$E$6:$E$23,MATCH(H200,Calculator!$A$6:$A$23,0))/100,0))*(1+Constants!$B$25*Calculator!$C$28))*(1+Calculator!$C$45)*(1-(1-MIN(0.5,Constants!$B$26*Calculator!$C$28))*Constants!$B$6)</f>
        <v>27.0459289575</v>
      </c>
    </row>
    <row r="201" customFormat="false" ht="15" hidden="false" customHeight="false" outlineLevel="0" collapsed="false">
      <c r="A201" s="4" t="s">
        <v>2647</v>
      </c>
      <c r="B201" s="4" t="s">
        <v>41</v>
      </c>
      <c r="C201" s="4" t="s">
        <v>2429</v>
      </c>
      <c r="D201" s="4" t="s">
        <v>2427</v>
      </c>
      <c r="E201" s="4" t="s">
        <v>2648</v>
      </c>
      <c r="F201" s="4"/>
      <c r="G201" s="4" t="n">
        <v>0</v>
      </c>
      <c r="H201" s="4"/>
      <c r="I201" s="4" t="n">
        <v>0</v>
      </c>
      <c r="J201" s="4"/>
      <c r="K201" s="4"/>
      <c r="L201" s="4"/>
      <c r="M201" s="4"/>
      <c r="N201" s="4"/>
    </row>
    <row r="202" customFormat="false" ht="15" hidden="false" customHeight="false" outlineLevel="0" collapsed="false">
      <c r="A202" s="4" t="s">
        <v>2649</v>
      </c>
      <c r="B202" s="4" t="s">
        <v>41</v>
      </c>
      <c r="C202" s="4" t="s">
        <v>2422</v>
      </c>
      <c r="D202" s="4" t="s">
        <v>2427</v>
      </c>
      <c r="E202" s="4" t="s">
        <v>2602</v>
      </c>
      <c r="F202" s="4" t="s">
        <v>41</v>
      </c>
      <c r="G202" s="4" t="n">
        <v>1.65</v>
      </c>
      <c r="H202" s="4"/>
      <c r="I202" s="4" t="n">
        <v>0</v>
      </c>
      <c r="J202" s="4" t="n">
        <v>15</v>
      </c>
      <c r="K202" s="4" t="n">
        <v>22.5</v>
      </c>
      <c r="L202" s="4" t="n">
        <v>30</v>
      </c>
      <c r="M202" s="4" t="n">
        <v>37.5</v>
      </c>
      <c r="N202" s="4" t="n">
        <v>45</v>
      </c>
      <c r="O202" s="9" t="n">
        <f aca="false">MAX(1,MIN(5,1+INT(IFERROR(INDEX(Calculator!$E$6:$E$23,MATCH("STR",Calculator!$A$6:$A$23,0)),0)/20)))</f>
        <v>2</v>
      </c>
      <c r="P202" s="24" t="n">
        <f aca="false">INDEX(J202:N202,O202)*(1+(IFERROR(G202/10*INDEX(Calculator!$E$6:$E$23,MATCH(F202,Calculator!$A$6:$A$23,0))/100,0)+IFERROR(I202/10*INDEX(Calculator!$E$6:$E$23,MATCH(H202,Calculator!$A$6:$A$23,0))/100,0))*(1+Constants!$B$25*Calculator!$C$28))*(1+Calculator!$C$45)*(1-(1-MIN(0.5,Constants!$B$26*Calculator!$C$28))*Constants!$B$6)</f>
        <v>21.89971447875</v>
      </c>
    </row>
    <row r="203" customFormat="false" ht="15" hidden="false" customHeight="false" outlineLevel="0" collapsed="false">
      <c r="A203" s="4" t="s">
        <v>2650</v>
      </c>
      <c r="B203" s="4" t="s">
        <v>47</v>
      </c>
      <c r="C203" s="4" t="s">
        <v>2426</v>
      </c>
      <c r="D203" s="4" t="s">
        <v>2427</v>
      </c>
      <c r="E203" s="4" t="s">
        <v>1429</v>
      </c>
      <c r="F203" s="4"/>
      <c r="G203" s="4" t="n">
        <v>0</v>
      </c>
      <c r="H203" s="4"/>
      <c r="I203" s="4" t="n">
        <v>0</v>
      </c>
      <c r="J203" s="4"/>
      <c r="K203" s="4"/>
      <c r="L203" s="4"/>
      <c r="M203" s="4"/>
      <c r="N203" s="4"/>
    </row>
    <row r="204" customFormat="false" ht="15" hidden="false" customHeight="false" outlineLevel="0" collapsed="false">
      <c r="A204" s="4" t="s">
        <v>2651</v>
      </c>
      <c r="B204" s="4" t="s">
        <v>1802</v>
      </c>
      <c r="C204" s="4" t="s">
        <v>2426</v>
      </c>
      <c r="D204" s="4" t="s">
        <v>2432</v>
      </c>
      <c r="E204" s="4" t="s">
        <v>1102</v>
      </c>
      <c r="F204" s="4"/>
      <c r="G204" s="4" t="n">
        <v>0</v>
      </c>
      <c r="H204" s="4"/>
      <c r="I204" s="4" t="n">
        <v>0</v>
      </c>
      <c r="J204" s="4"/>
      <c r="K204" s="4"/>
      <c r="L204" s="4"/>
      <c r="M204" s="4"/>
      <c r="N204" s="4"/>
    </row>
    <row r="205" customFormat="false" ht="15" hidden="false" customHeight="false" outlineLevel="0" collapsed="false">
      <c r="A205" s="4" t="s">
        <v>2652</v>
      </c>
      <c r="B205" s="4" t="s">
        <v>41</v>
      </c>
      <c r="C205" s="4" t="s">
        <v>2422</v>
      </c>
      <c r="D205" s="4" t="s">
        <v>2427</v>
      </c>
      <c r="E205" s="4" t="s">
        <v>1814</v>
      </c>
      <c r="F205" s="4" t="s">
        <v>41</v>
      </c>
      <c r="G205" s="4" t="n">
        <v>1.65</v>
      </c>
      <c r="H205" s="4"/>
      <c r="I205" s="4" t="n">
        <v>0</v>
      </c>
      <c r="J205" s="4" t="n">
        <v>20</v>
      </c>
      <c r="K205" s="4" t="n">
        <v>30</v>
      </c>
      <c r="L205" s="4" t="n">
        <v>40</v>
      </c>
      <c r="M205" s="4" t="n">
        <v>50</v>
      </c>
      <c r="N205" s="4" t="n">
        <v>60</v>
      </c>
      <c r="O205" s="9" t="n">
        <f aca="false">MAX(1,MIN(5,1+INT(IFERROR(INDEX(Calculator!$E$6:$E$23,MATCH("STR",Calculator!$A$6:$A$23,0)),0)/20)))</f>
        <v>2</v>
      </c>
      <c r="P205" s="24" t="n">
        <f aca="false">INDEX(J205:N205,O205)*(1+(IFERROR(G205/10*INDEX(Calculator!$E$6:$E$23,MATCH(F205,Calculator!$A$6:$A$23,0))/100,0)+IFERROR(I205/10*INDEX(Calculator!$E$6:$E$23,MATCH(H205,Calculator!$A$6:$A$23,0))/100,0))*(1+Constants!$B$25*Calculator!$C$28))*(1+Calculator!$C$45)*(1-(1-MIN(0.5,Constants!$B$26*Calculator!$C$28))*Constants!$B$6)</f>
        <v>29.199619305</v>
      </c>
    </row>
    <row r="206" customFormat="false" ht="15" hidden="false" customHeight="false" outlineLevel="0" collapsed="false">
      <c r="A206" s="4" t="s">
        <v>2653</v>
      </c>
      <c r="B206" s="4" t="s">
        <v>41</v>
      </c>
      <c r="C206" s="4" t="s">
        <v>2422</v>
      </c>
      <c r="D206" s="4" t="s">
        <v>2427</v>
      </c>
      <c r="E206" s="4" t="s">
        <v>2654</v>
      </c>
      <c r="F206" s="4" t="s">
        <v>41</v>
      </c>
      <c r="G206" s="4" t="n">
        <v>1.65</v>
      </c>
      <c r="H206" s="4"/>
      <c r="I206" s="4" t="n">
        <v>0</v>
      </c>
      <c r="J206" s="4" t="n">
        <v>15</v>
      </c>
      <c r="K206" s="4" t="n">
        <v>18</v>
      </c>
      <c r="L206" s="4" t="n">
        <v>21</v>
      </c>
      <c r="M206" s="4" t="n">
        <v>24</v>
      </c>
      <c r="N206" s="4" t="n">
        <v>27</v>
      </c>
      <c r="O206" s="9" t="n">
        <f aca="false">MAX(1,MIN(5,1+INT(IFERROR(INDEX(Calculator!$E$6:$E$23,MATCH("STR",Calculator!$A$6:$A$23,0)),0)/20)))</f>
        <v>2</v>
      </c>
      <c r="P206" s="24" t="n">
        <f aca="false">INDEX(J206:N206,O206)*(1+(IFERROR(G206/10*INDEX(Calculator!$E$6:$E$23,MATCH(F206,Calculator!$A$6:$A$23,0))/100,0)+IFERROR(I206/10*INDEX(Calculator!$E$6:$E$23,MATCH(H206,Calculator!$A$6:$A$23,0))/100,0))*(1+Constants!$B$25*Calculator!$C$28))*(1+Calculator!$C$45)*(1-(1-MIN(0.5,Constants!$B$26*Calculator!$C$28))*Constants!$B$6)</f>
        <v>17.519771583</v>
      </c>
    </row>
    <row r="207" customFormat="false" ht="15" hidden="false" customHeight="false" outlineLevel="0" collapsed="false">
      <c r="A207" s="4" t="s">
        <v>2655</v>
      </c>
      <c r="B207" s="4" t="s">
        <v>1811</v>
      </c>
      <c r="C207" s="4" t="s">
        <v>2422</v>
      </c>
      <c r="D207" s="4" t="s">
        <v>2432</v>
      </c>
      <c r="E207" s="4" t="s">
        <v>1277</v>
      </c>
      <c r="F207" s="4"/>
      <c r="G207" s="4" t="n">
        <v>0</v>
      </c>
      <c r="H207" s="4"/>
      <c r="I207" s="4" t="n">
        <v>0</v>
      </c>
      <c r="J207" s="4"/>
      <c r="K207" s="4"/>
      <c r="L207" s="4"/>
      <c r="M207" s="4"/>
      <c r="N207" s="4"/>
    </row>
    <row r="208" customFormat="false" ht="15" hidden="false" customHeight="false" outlineLevel="0" collapsed="false">
      <c r="A208" s="4" t="s">
        <v>2656</v>
      </c>
      <c r="B208" s="4" t="s">
        <v>51</v>
      </c>
      <c r="C208" s="4" t="s">
        <v>2426</v>
      </c>
      <c r="D208" s="4" t="s">
        <v>2427</v>
      </c>
      <c r="E208" s="4" t="s">
        <v>790</v>
      </c>
      <c r="F208" s="4"/>
      <c r="G208" s="4" t="n">
        <v>0</v>
      </c>
      <c r="H208" s="4"/>
      <c r="I208" s="4" t="n">
        <v>0</v>
      </c>
      <c r="J208" s="4"/>
      <c r="K208" s="4"/>
      <c r="L208" s="4"/>
      <c r="M208" s="4"/>
      <c r="N208" s="4"/>
    </row>
    <row r="209" customFormat="false" ht="15" hidden="false" customHeight="false" outlineLevel="0" collapsed="false">
      <c r="A209" s="4" t="s">
        <v>2657</v>
      </c>
      <c r="B209" s="4" t="s">
        <v>2658</v>
      </c>
      <c r="C209" s="4" t="s">
        <v>2429</v>
      </c>
      <c r="D209" s="4" t="s">
        <v>2427</v>
      </c>
      <c r="E209" s="4" t="s">
        <v>2659</v>
      </c>
      <c r="F209" s="4" t="s">
        <v>65</v>
      </c>
      <c r="G209" s="4" t="n">
        <v>2.75</v>
      </c>
      <c r="H209" s="4" t="s">
        <v>63</v>
      </c>
      <c r="I209" s="4" t="n">
        <v>2.75</v>
      </c>
      <c r="J209" s="4" t="n">
        <v>10</v>
      </c>
      <c r="K209" s="4" t="n">
        <v>18</v>
      </c>
      <c r="L209" s="4" t="n">
        <v>26</v>
      </c>
      <c r="M209" s="4" t="n">
        <v>34</v>
      </c>
      <c r="N209" s="4" t="n">
        <v>42</v>
      </c>
      <c r="O209" s="9" t="n">
        <f aca="false">MAX(1,MIN(5,1+INT(IFERROR(INDEX(Calculator!$E$6:$E$23,MATCH("WND",Calculator!$A$6:$A$23,0)),0)/20)))</f>
        <v>1</v>
      </c>
      <c r="P209" s="24" t="n">
        <f aca="false">INDEX(J209:N209,O209)*(1+(IFERROR(G209/10*INDEX(Calculator!$E$6:$E$23,MATCH(F209,Calculator!$A$6:$A$23,0))/100,0)+IFERROR(I209/10*INDEX(Calculator!$E$6:$E$23,MATCH(H209,Calculator!$A$6:$A$23,0))/100,0))*(1+Constants!$B$25*Calculator!$C$28))*(1+Calculator!$C$45)*(1-(1-MIN(0.5,Constants!$B$26*Calculator!$C$28))*Constants!$B$6)</f>
        <v>10.017010725</v>
      </c>
    </row>
    <row r="210" customFormat="false" ht="15" hidden="false" customHeight="false" outlineLevel="0" collapsed="false">
      <c r="A210" s="4" t="s">
        <v>2660</v>
      </c>
      <c r="B210" s="4" t="s">
        <v>41</v>
      </c>
      <c r="C210" s="4" t="s">
        <v>2422</v>
      </c>
      <c r="D210" s="4" t="s">
        <v>2427</v>
      </c>
      <c r="E210" s="4" t="s">
        <v>2661</v>
      </c>
      <c r="F210" s="4" t="s">
        <v>41</v>
      </c>
      <c r="G210" s="4" t="n">
        <v>3</v>
      </c>
      <c r="H210" s="4"/>
      <c r="I210" s="4" t="n">
        <v>0</v>
      </c>
      <c r="J210" s="4" t="n">
        <v>20</v>
      </c>
      <c r="K210" s="4" t="n">
        <v>22</v>
      </c>
      <c r="L210" s="4" t="n">
        <v>24</v>
      </c>
      <c r="M210" s="4" t="n">
        <v>26</v>
      </c>
      <c r="N210" s="4" t="n">
        <v>28</v>
      </c>
      <c r="O210" s="9" t="n">
        <f aca="false">MAX(1,MIN(5,1+INT(IFERROR(INDEX(Calculator!$E$6:$E$23,MATCH("STR",Calculator!$A$6:$A$23,0)),0)/20)))</f>
        <v>2</v>
      </c>
      <c r="P210" s="24" t="n">
        <f aca="false">INDEX(J210:N210,O210)*(1+(IFERROR(G210/10*INDEX(Calculator!$E$6:$E$23,MATCH(F210,Calculator!$A$6:$A$23,0))/100,0)+IFERROR(I210/10*INDEX(Calculator!$E$6:$E$23,MATCH(H210,Calculator!$A$6:$A$23,0))/100,0))*(1+Constants!$B$25*Calculator!$C$28))*(1+Calculator!$C$45)*(1-(1-MIN(0.5,Constants!$B$26*Calculator!$C$28))*Constants!$B$6)</f>
        <v>22.17932574</v>
      </c>
    </row>
    <row r="211" customFormat="false" ht="15" hidden="false" customHeight="false" outlineLevel="0" collapsed="false">
      <c r="A211" s="4" t="s">
        <v>2662</v>
      </c>
      <c r="B211" s="4" t="s">
        <v>63</v>
      </c>
      <c r="C211" s="4" t="s">
        <v>2422</v>
      </c>
      <c r="D211" s="4" t="s">
        <v>2427</v>
      </c>
      <c r="E211" s="4" t="s">
        <v>415</v>
      </c>
      <c r="F211" s="4" t="s">
        <v>63</v>
      </c>
      <c r="G211" s="4" t="n">
        <v>2.75</v>
      </c>
      <c r="H211" s="4"/>
      <c r="I211" s="4" t="n">
        <v>0</v>
      </c>
      <c r="J211" s="4" t="n">
        <v>25</v>
      </c>
      <c r="K211" s="4" t="n">
        <v>28</v>
      </c>
      <c r="L211" s="4" t="n">
        <v>31</v>
      </c>
      <c r="M211" s="4" t="n">
        <v>34</v>
      </c>
      <c r="N211" s="4" t="n">
        <v>37</v>
      </c>
      <c r="O211" s="9" t="n">
        <f aca="false">MAX(1,MIN(5,1+INT(IFERROR(INDEX(Calculator!$E$6:$E$23,MATCH("LTN",Calculator!$A$6:$A$23,0)),0)/20)))</f>
        <v>2</v>
      </c>
      <c r="P211" s="24" t="n">
        <f aca="false">INDEX(J211:N211,O211)*(1+(IFERROR(G211/10*INDEX(Calculator!$E$6:$E$23,MATCH(F211,Calculator!$A$6:$A$23,0))/100,0)+IFERROR(I211/10*INDEX(Calculator!$E$6:$E$23,MATCH(H211,Calculator!$A$6:$A$23,0))/100,0))*(1+Constants!$B$25*Calculator!$C$28))*(1+Calculator!$C$45)*(1-(1-MIN(0.5,Constants!$B$26*Calculator!$C$28))*Constants!$B$6)</f>
        <v>28.04763003</v>
      </c>
    </row>
    <row r="212" customFormat="false" ht="15" hidden="false" customHeight="false" outlineLevel="0" collapsed="false">
      <c r="A212" s="4" t="s">
        <v>2663</v>
      </c>
      <c r="B212" s="4" t="s">
        <v>63</v>
      </c>
      <c r="C212" s="4" t="s">
        <v>2447</v>
      </c>
      <c r="D212" s="4" t="s">
        <v>2427</v>
      </c>
      <c r="E212" s="4" t="s">
        <v>1172</v>
      </c>
      <c r="F212" s="4"/>
      <c r="G212" s="4" t="n">
        <v>0</v>
      </c>
      <c r="H212" s="4"/>
      <c r="I212" s="4" t="n">
        <v>0</v>
      </c>
      <c r="J212" s="4"/>
      <c r="K212" s="4"/>
      <c r="L212" s="4"/>
      <c r="M212" s="4"/>
      <c r="N212" s="4"/>
    </row>
    <row r="213" customFormat="false" ht="15" hidden="false" customHeight="false" outlineLevel="0" collapsed="false">
      <c r="A213" s="4" t="s">
        <v>2664</v>
      </c>
      <c r="B213" s="4" t="s">
        <v>65</v>
      </c>
      <c r="C213" s="4" t="s">
        <v>2422</v>
      </c>
      <c r="D213" s="4" t="s">
        <v>2427</v>
      </c>
      <c r="E213" s="4" t="s">
        <v>400</v>
      </c>
      <c r="F213" s="4" t="s">
        <v>65</v>
      </c>
      <c r="G213" s="4" t="n">
        <v>2.75</v>
      </c>
      <c r="H213" s="4"/>
      <c r="I213" s="4" t="n">
        <v>0</v>
      </c>
      <c r="J213" s="4" t="n">
        <v>126</v>
      </c>
      <c r="K213" s="4" t="n">
        <v>141.12</v>
      </c>
      <c r="L213" s="4" t="n">
        <v>156.24</v>
      </c>
      <c r="M213" s="4" t="n">
        <v>171.36</v>
      </c>
      <c r="N213" s="4" t="n">
        <v>186.48</v>
      </c>
      <c r="O213" s="9" t="n">
        <f aca="false">MAX(1,MIN(5,1+INT(IFERROR(INDEX(Calculator!$E$6:$E$23,MATCH("WND",Calculator!$A$6:$A$23,0)),0)/20)))</f>
        <v>1</v>
      </c>
      <c r="P213" s="24" t="n">
        <f aca="false">INDEX(J213:N213,O213)*(1+(IFERROR(G213/10*INDEX(Calculator!$E$6:$E$23,MATCH(F213,Calculator!$A$6:$A$23,0))/100,0)+IFERROR(I213/10*INDEX(Calculator!$E$6:$E$23,MATCH(H213,Calculator!$A$6:$A$23,0))/100,0))*(1+Constants!$B$25*Calculator!$C$28))*(1+Calculator!$C$45)*(1-(1-MIN(0.5,Constants!$B$26*Calculator!$C$28))*Constants!$B$6)</f>
        <v>117.2745</v>
      </c>
    </row>
    <row r="214" customFormat="false" ht="15" hidden="false" customHeight="false" outlineLevel="0" collapsed="false">
      <c r="A214" s="4" t="s">
        <v>2665</v>
      </c>
      <c r="B214" s="4" t="s">
        <v>65</v>
      </c>
      <c r="C214" s="4" t="s">
        <v>2422</v>
      </c>
      <c r="D214" s="4" t="s">
        <v>2427</v>
      </c>
      <c r="E214" s="4" t="s">
        <v>1338</v>
      </c>
      <c r="F214" s="4" t="s">
        <v>65</v>
      </c>
      <c r="G214" s="4" t="n">
        <v>2.75</v>
      </c>
      <c r="H214" s="4"/>
      <c r="I214" s="4" t="n">
        <v>0</v>
      </c>
      <c r="J214" s="4" t="n">
        <v>72</v>
      </c>
      <c r="K214" s="4" t="n">
        <v>82</v>
      </c>
      <c r="L214" s="4" t="n">
        <v>92</v>
      </c>
      <c r="M214" s="4" t="n">
        <v>102</v>
      </c>
      <c r="N214" s="4" t="n">
        <v>112</v>
      </c>
      <c r="O214" s="9" t="n">
        <f aca="false">MAX(1,MIN(5,1+INT(IFERROR(INDEX(Calculator!$E$6:$E$23,MATCH("WND",Calculator!$A$6:$A$23,0)),0)/20)))</f>
        <v>1</v>
      </c>
      <c r="P214" s="24" t="n">
        <f aca="false">INDEX(J214:N214,O214)*(1+(IFERROR(G214/10*INDEX(Calculator!$E$6:$E$23,MATCH(F214,Calculator!$A$6:$A$23,0))/100,0)+IFERROR(I214/10*INDEX(Calculator!$E$6:$E$23,MATCH(H214,Calculator!$A$6:$A$23,0))/100,0))*(1+Constants!$B$25*Calculator!$C$28))*(1+Calculator!$C$45)*(1-(1-MIN(0.5,Constants!$B$26*Calculator!$C$28))*Constants!$B$6)</f>
        <v>67.014</v>
      </c>
    </row>
    <row r="215" customFormat="false" ht="15" hidden="false" customHeight="false" outlineLevel="0" collapsed="false">
      <c r="A215" s="4" t="s">
        <v>2666</v>
      </c>
      <c r="B215" s="4" t="s">
        <v>1791</v>
      </c>
      <c r="C215" s="4" t="s">
        <v>2426</v>
      </c>
      <c r="D215" s="4" t="s">
        <v>2432</v>
      </c>
      <c r="E215" s="4" t="s">
        <v>459</v>
      </c>
      <c r="F215" s="4"/>
      <c r="G215" s="4" t="n">
        <v>0</v>
      </c>
      <c r="H215" s="4"/>
      <c r="I215" s="4" t="n">
        <v>0</v>
      </c>
      <c r="J215" s="4"/>
      <c r="K215" s="4"/>
      <c r="L215" s="4"/>
      <c r="M215" s="4"/>
      <c r="N215" s="4"/>
    </row>
    <row r="216" customFormat="false" ht="15" hidden="false" customHeight="false" outlineLevel="0" collapsed="false">
      <c r="A216" s="4" t="s">
        <v>2667</v>
      </c>
      <c r="B216" s="4" t="s">
        <v>55</v>
      </c>
      <c r="C216" s="4" t="s">
        <v>2422</v>
      </c>
      <c r="D216" s="4" t="s">
        <v>2427</v>
      </c>
      <c r="E216" s="4" t="s">
        <v>680</v>
      </c>
      <c r="F216" s="4" t="s">
        <v>55</v>
      </c>
      <c r="G216" s="4" t="n">
        <v>1.65</v>
      </c>
      <c r="H216" s="4"/>
      <c r="I216" s="4" t="n">
        <v>0</v>
      </c>
      <c r="J216" s="4" t="n">
        <v>27.75</v>
      </c>
      <c r="K216" s="4" t="n">
        <v>31.45</v>
      </c>
      <c r="L216" s="4" t="n">
        <v>35.15</v>
      </c>
      <c r="M216" s="4" t="n">
        <v>38.85</v>
      </c>
      <c r="N216" s="4" t="n">
        <v>42.55</v>
      </c>
      <c r="O216" s="9" t="n">
        <f aca="false">MAX(1,MIN(5,1+INT(IFERROR(INDEX(Calculator!$E$6:$E$23,MATCH("MED",Calculator!$A$6:$A$23,0)),0)/20)))</f>
        <v>5</v>
      </c>
      <c r="P216" s="24" t="n">
        <f aca="false">INDEX(J216:N216,O216)*(1+(IFERROR(G216/10*INDEX(Calculator!$E$6:$E$23,MATCH(F216,Calculator!$A$6:$A$23,0))/100,0)+IFERROR(I216/10*INDEX(Calculator!$E$6:$E$23,MATCH(H216,Calculator!$A$6:$A$23,0))/100,0))*(1+Constants!$B$25*Calculator!$C$28))*(1+Calculator!$C$45)*(1-(1-MIN(0.5,Constants!$B$26*Calculator!$C$28))*Constants!$B$6)</f>
        <v>47.17827800205</v>
      </c>
    </row>
    <row r="217" customFormat="false" ht="15" hidden="false" customHeight="false" outlineLevel="0" collapsed="false">
      <c r="A217" s="4" t="s">
        <v>2668</v>
      </c>
      <c r="B217" s="4" t="s">
        <v>2669</v>
      </c>
      <c r="C217" s="4" t="s">
        <v>2422</v>
      </c>
      <c r="D217" s="4" t="s">
        <v>2427</v>
      </c>
      <c r="E217" s="4" t="s">
        <v>2670</v>
      </c>
      <c r="F217" s="4" t="s">
        <v>45</v>
      </c>
      <c r="G217" s="4" t="n">
        <v>1.65</v>
      </c>
      <c r="H217" s="4"/>
      <c r="I217" s="4" t="n">
        <v>0</v>
      </c>
      <c r="J217" s="4" t="n">
        <v>51.01</v>
      </c>
      <c r="K217" s="4" t="n">
        <v>57.37</v>
      </c>
      <c r="L217" s="4" t="n">
        <v>63.75</v>
      </c>
      <c r="M217" s="4" t="n">
        <v>70.13</v>
      </c>
      <c r="N217" s="4" t="n">
        <v>76.51</v>
      </c>
      <c r="O217" s="9" t="n">
        <f aca="false">MAX(1,MIN(5,1+INT(IFERROR(INDEX(Calculator!$E$6:$E$23,MATCH("STR",Calculator!$A$6:$A$23,0)),0)/20)))</f>
        <v>2</v>
      </c>
      <c r="P217" s="24" t="n">
        <f aca="false">INDEX(J217:N217,O217)*(1+(IFERROR(G217/10*INDEX(Calculator!$E$6:$E$23,MATCH(F217,Calculator!$A$6:$A$23,0))/100,0)+IFERROR(I217/10*INDEX(Calculator!$E$6:$E$23,MATCH(H217,Calculator!$A$6:$A$23,0))/100,0))*(1+Constants!$B$25*Calculator!$C$28))*(1+Calculator!$C$45)*(1-(1-MIN(0.5,Constants!$B$26*Calculator!$C$28))*Constants!$B$6)</f>
        <v>55.839405317595</v>
      </c>
    </row>
    <row r="218" customFormat="false" ht="15" hidden="false" customHeight="false" outlineLevel="0" collapsed="false">
      <c r="A218" s="4" t="s">
        <v>2671</v>
      </c>
      <c r="B218" s="4" t="s">
        <v>65</v>
      </c>
      <c r="C218" s="4" t="s">
        <v>2422</v>
      </c>
      <c r="D218" s="4" t="s">
        <v>2427</v>
      </c>
      <c r="E218" s="4" t="s">
        <v>400</v>
      </c>
      <c r="F218" s="4" t="s">
        <v>65</v>
      </c>
      <c r="G218" s="4" t="n">
        <v>2.75</v>
      </c>
      <c r="H218" s="4"/>
      <c r="I218" s="4" t="n">
        <v>0</v>
      </c>
      <c r="J218" s="4" t="n">
        <v>28</v>
      </c>
      <c r="K218" s="4" t="n">
        <v>33.2</v>
      </c>
      <c r="L218" s="4" t="n">
        <v>38.4</v>
      </c>
      <c r="M218" s="4" t="n">
        <v>43.6</v>
      </c>
      <c r="N218" s="4" t="n">
        <v>48.8</v>
      </c>
      <c r="O218" s="9" t="n">
        <f aca="false">MAX(1,MIN(5,1+INT(IFERROR(INDEX(Calculator!$E$6:$E$23,MATCH("WND",Calculator!$A$6:$A$23,0)),0)/20)))</f>
        <v>1</v>
      </c>
      <c r="P218" s="24" t="n">
        <f aca="false">INDEX(J218:N218,O218)*(1+(IFERROR(G218/10*INDEX(Calculator!$E$6:$E$23,MATCH(F218,Calculator!$A$6:$A$23,0))/100,0)+IFERROR(I218/10*INDEX(Calculator!$E$6:$E$23,MATCH(H218,Calculator!$A$6:$A$23,0))/100,0))*(1+Constants!$B$25*Calculator!$C$28))*(1+Calculator!$C$45)*(1-(1-MIN(0.5,Constants!$B$26*Calculator!$C$28))*Constants!$B$6)</f>
        <v>26.061</v>
      </c>
    </row>
    <row r="219" customFormat="false" ht="15" hidden="false" customHeight="false" outlineLevel="0" collapsed="false">
      <c r="A219" s="4" t="s">
        <v>2672</v>
      </c>
      <c r="B219" s="4" t="s">
        <v>67</v>
      </c>
      <c r="C219" s="4" t="s">
        <v>2422</v>
      </c>
      <c r="D219" s="4" t="s">
        <v>2427</v>
      </c>
      <c r="E219" s="4" t="s">
        <v>1168</v>
      </c>
      <c r="F219" s="4" t="s">
        <v>67</v>
      </c>
      <c r="G219" s="4" t="n">
        <v>2.75</v>
      </c>
      <c r="H219" s="4"/>
      <c r="I219" s="4" t="n">
        <v>0</v>
      </c>
      <c r="J219" s="4" t="n">
        <v>20</v>
      </c>
      <c r="K219" s="4" t="n">
        <v>24</v>
      </c>
      <c r="L219" s="4" t="n">
        <v>28</v>
      </c>
      <c r="M219" s="4" t="n">
        <v>32</v>
      </c>
      <c r="N219" s="4" t="n">
        <v>36</v>
      </c>
      <c r="O219" s="9" t="n">
        <f aca="false">MAX(1,MIN(5,1+INT(IFERROR(INDEX(Calculator!$E$6:$E$23,MATCH("SDW",Calculator!$A$6:$A$23,0)),0)/20)))</f>
        <v>1</v>
      </c>
      <c r="P219" s="24" t="n">
        <f aca="false">INDEX(J219:N219,O219)*(1+(IFERROR(G219/10*INDEX(Calculator!$E$6:$E$23,MATCH(F219,Calculator!$A$6:$A$23,0))/100,0)+IFERROR(I219/10*INDEX(Calculator!$E$6:$E$23,MATCH(H219,Calculator!$A$6:$A$23,0))/100,0))*(1+Constants!$B$25*Calculator!$C$28))*(1+Calculator!$C$45)*(1-(1-MIN(0.5,Constants!$B$26*Calculator!$C$28))*Constants!$B$6)</f>
        <v>18.615</v>
      </c>
    </row>
    <row r="220" customFormat="false" ht="15" hidden="false" customHeight="false" outlineLevel="0" collapsed="false">
      <c r="A220" s="4" t="s">
        <v>2673</v>
      </c>
      <c r="B220" s="4" t="s">
        <v>65</v>
      </c>
      <c r="C220" s="4" t="s">
        <v>2422</v>
      </c>
      <c r="D220" s="4" t="s">
        <v>2427</v>
      </c>
      <c r="E220" s="4" t="s">
        <v>400</v>
      </c>
      <c r="F220" s="4" t="s">
        <v>65</v>
      </c>
      <c r="G220" s="4" t="n">
        <v>2.75</v>
      </c>
      <c r="H220" s="4"/>
      <c r="I220" s="4" t="n">
        <v>0</v>
      </c>
      <c r="J220" s="4" t="n">
        <v>32.4</v>
      </c>
      <c r="K220" s="4" t="n">
        <v>35.3</v>
      </c>
      <c r="L220" s="4" t="n">
        <v>38.3</v>
      </c>
      <c r="M220" s="4" t="n">
        <v>41.2</v>
      </c>
      <c r="N220" s="4" t="n">
        <v>44.2</v>
      </c>
      <c r="O220" s="9" t="n">
        <f aca="false">MAX(1,MIN(5,1+INT(IFERROR(INDEX(Calculator!$E$6:$E$23,MATCH("WND",Calculator!$A$6:$A$23,0)),0)/20)))</f>
        <v>1</v>
      </c>
      <c r="P220" s="24" t="n">
        <f aca="false">INDEX(J220:N220,O220)*(1+(IFERROR(G220/10*INDEX(Calculator!$E$6:$E$23,MATCH(F220,Calculator!$A$6:$A$23,0))/100,0)+IFERROR(I220/10*INDEX(Calculator!$E$6:$E$23,MATCH(H220,Calculator!$A$6:$A$23,0))/100,0))*(1+Constants!$B$25*Calculator!$C$28))*(1+Calculator!$C$45)*(1-(1-MIN(0.5,Constants!$B$26*Calculator!$C$28))*Constants!$B$6)</f>
        <v>30.1563</v>
      </c>
    </row>
    <row r="221" customFormat="false" ht="15" hidden="false" customHeight="false" outlineLevel="0" collapsed="false">
      <c r="A221" s="4" t="s">
        <v>2674</v>
      </c>
      <c r="B221" s="4" t="s">
        <v>71</v>
      </c>
      <c r="C221" s="4" t="s">
        <v>2429</v>
      </c>
      <c r="D221" s="4" t="s">
        <v>2427</v>
      </c>
      <c r="E221" s="4" t="s">
        <v>648</v>
      </c>
      <c r="F221" s="4" t="s">
        <v>71</v>
      </c>
      <c r="G221" s="4" t="n">
        <v>2.75</v>
      </c>
      <c r="H221" s="4"/>
      <c r="I221" s="4" t="n">
        <v>0</v>
      </c>
      <c r="J221" s="4" t="n">
        <v>25</v>
      </c>
      <c r="K221" s="4" t="n">
        <v>29</v>
      </c>
      <c r="L221" s="4" t="n">
        <v>33</v>
      </c>
      <c r="M221" s="4" t="n">
        <v>37</v>
      </c>
      <c r="N221" s="4" t="n">
        <v>41</v>
      </c>
      <c r="O221" s="9" t="n">
        <f aca="false">MAX(1,MIN(5,1+INT(IFERROR(INDEX(Calculator!$E$6:$E$23,MATCH("BLD",Calculator!$A$6:$A$23,0)),0)/20)))</f>
        <v>1</v>
      </c>
      <c r="P221" s="24" t="n">
        <f aca="false">INDEX(J221:N221,O221)*(1+(IFERROR(G221/10*INDEX(Calculator!$E$6:$E$23,MATCH(F221,Calculator!$A$6:$A$23,0))/100,0)+IFERROR(I221/10*INDEX(Calculator!$E$6:$E$23,MATCH(H221,Calculator!$A$6:$A$23,0))/100,0))*(1+Constants!$B$25*Calculator!$C$28))*(1+Calculator!$C$45)*(1-(1-MIN(0.5,Constants!$B$26*Calculator!$C$28))*Constants!$B$6)</f>
        <v>23.26875</v>
      </c>
    </row>
    <row r="222" customFormat="false" ht="15" hidden="false" customHeight="false" outlineLevel="0" collapsed="false">
      <c r="A222" s="4" t="s">
        <v>2675</v>
      </c>
      <c r="B222" s="4" t="s">
        <v>71</v>
      </c>
      <c r="C222" s="4" t="s">
        <v>2422</v>
      </c>
      <c r="D222" s="4" t="s">
        <v>2427</v>
      </c>
      <c r="E222" s="4" t="s">
        <v>648</v>
      </c>
      <c r="F222" s="4" t="s">
        <v>71</v>
      </c>
      <c r="G222" s="4" t="n">
        <v>2.75</v>
      </c>
      <c r="H222" s="4"/>
      <c r="I222" s="4" t="n">
        <v>0</v>
      </c>
      <c r="J222" s="4" t="n">
        <v>90</v>
      </c>
      <c r="K222" s="4" t="n">
        <v>95</v>
      </c>
      <c r="L222" s="4" t="n">
        <v>100</v>
      </c>
      <c r="M222" s="4" t="n">
        <v>105</v>
      </c>
      <c r="N222" s="4" t="n">
        <v>110</v>
      </c>
      <c r="O222" s="9" t="n">
        <f aca="false">MAX(1,MIN(5,1+INT(IFERROR(INDEX(Calculator!$E$6:$E$23,MATCH("BLD",Calculator!$A$6:$A$23,0)),0)/20)))</f>
        <v>1</v>
      </c>
      <c r="P222" s="24" t="n">
        <f aca="false">INDEX(J222:N222,O222)*(1+(IFERROR(G222/10*INDEX(Calculator!$E$6:$E$23,MATCH(F222,Calculator!$A$6:$A$23,0))/100,0)+IFERROR(I222/10*INDEX(Calculator!$E$6:$E$23,MATCH(H222,Calculator!$A$6:$A$23,0))/100,0))*(1+Constants!$B$25*Calculator!$C$28))*(1+Calculator!$C$45)*(1-(1-MIN(0.5,Constants!$B$26*Calculator!$C$28))*Constants!$B$6)</f>
        <v>83.7675</v>
      </c>
    </row>
    <row r="223" customFormat="false" ht="15" hidden="false" customHeight="false" outlineLevel="0" collapsed="false">
      <c r="A223" s="4" t="s">
        <v>2676</v>
      </c>
      <c r="B223" s="4" t="s">
        <v>71</v>
      </c>
      <c r="C223" s="4" t="s">
        <v>2422</v>
      </c>
      <c r="D223" s="4" t="s">
        <v>2427</v>
      </c>
      <c r="E223" s="4" t="s">
        <v>385</v>
      </c>
      <c r="F223" s="4" t="s">
        <v>71</v>
      </c>
      <c r="G223" s="4" t="n">
        <v>2.75</v>
      </c>
      <c r="H223" s="4"/>
      <c r="I223" s="4" t="n">
        <v>0</v>
      </c>
      <c r="J223" s="4" t="n">
        <v>18.5</v>
      </c>
      <c r="K223" s="4" t="n">
        <v>26</v>
      </c>
      <c r="L223" s="4" t="n">
        <v>33.5</v>
      </c>
      <c r="M223" s="4" t="n">
        <v>41</v>
      </c>
      <c r="N223" s="4" t="n">
        <v>48.5</v>
      </c>
      <c r="O223" s="9" t="n">
        <f aca="false">MAX(1,MIN(5,1+INT(IFERROR(INDEX(Calculator!$E$6:$E$23,MATCH("BLD",Calculator!$A$6:$A$23,0)),0)/20)))</f>
        <v>1</v>
      </c>
      <c r="P223" s="24" t="n">
        <f aca="false">INDEX(J223:N223,O223)*(1+(IFERROR(G223/10*INDEX(Calculator!$E$6:$E$23,MATCH(F223,Calculator!$A$6:$A$23,0))/100,0)+IFERROR(I223/10*INDEX(Calculator!$E$6:$E$23,MATCH(H223,Calculator!$A$6:$A$23,0))/100,0))*(1+Constants!$B$25*Calculator!$C$28))*(1+Calculator!$C$45)*(1-(1-MIN(0.5,Constants!$B$26*Calculator!$C$28))*Constants!$B$6)</f>
        <v>17.218875</v>
      </c>
    </row>
    <row r="224" customFormat="false" ht="15" hidden="false" customHeight="false" outlineLevel="0" collapsed="false">
      <c r="A224" s="4" t="s">
        <v>2677</v>
      </c>
      <c r="B224" s="4" t="s">
        <v>61</v>
      </c>
      <c r="C224" s="4" t="s">
        <v>2422</v>
      </c>
      <c r="D224" s="4" t="s">
        <v>2427</v>
      </c>
      <c r="E224" s="4" t="s">
        <v>1304</v>
      </c>
      <c r="F224" s="4" t="s">
        <v>61</v>
      </c>
      <c r="G224" s="4" t="n">
        <v>2.75</v>
      </c>
      <c r="H224" s="4"/>
      <c r="I224" s="4" t="n">
        <v>0</v>
      </c>
      <c r="J224" s="4" t="n">
        <v>51</v>
      </c>
      <c r="K224" s="4" t="n">
        <v>56.5</v>
      </c>
      <c r="L224" s="4" t="n">
        <v>62</v>
      </c>
      <c r="M224" s="4" t="n">
        <v>67.5</v>
      </c>
      <c r="N224" s="4" t="n">
        <v>73</v>
      </c>
      <c r="O224" s="9" t="n">
        <f aca="false">MAX(1,MIN(5,1+INT(IFERROR(INDEX(Calculator!$E$6:$E$23,MATCH("ICE",Calculator!$A$6:$A$23,0)),0)/20)))</f>
        <v>1</v>
      </c>
      <c r="P224" s="24" t="n">
        <f aca="false">INDEX(J224:N224,O224)*(1+(IFERROR(G224/10*INDEX(Calculator!$E$6:$E$23,MATCH(F224,Calculator!$A$6:$A$23,0))/100,0)+IFERROR(I224/10*INDEX(Calculator!$E$6:$E$23,MATCH(H224,Calculator!$A$6:$A$23,0))/100,0))*(1+Constants!$B$25*Calculator!$C$28))*(1+Calculator!$C$45)*(1-(1-MIN(0.5,Constants!$B$26*Calculator!$C$28))*Constants!$B$6)</f>
        <v>47.46825</v>
      </c>
    </row>
    <row r="225" customFormat="false" ht="15" hidden="false" customHeight="false" outlineLevel="0" collapsed="false">
      <c r="A225" s="4" t="s">
        <v>2678</v>
      </c>
      <c r="B225" s="4" t="s">
        <v>1789</v>
      </c>
      <c r="C225" s="4" t="s">
        <v>2422</v>
      </c>
      <c r="D225" s="4" t="s">
        <v>2432</v>
      </c>
      <c r="E225" s="4" t="s">
        <v>478</v>
      </c>
      <c r="F225" s="4"/>
      <c r="G225" s="4" t="n">
        <v>0</v>
      </c>
      <c r="H225" s="4"/>
      <c r="I225" s="4" t="n">
        <v>0</v>
      </c>
      <c r="J225" s="4"/>
      <c r="K225" s="4"/>
      <c r="L225" s="4"/>
      <c r="M225" s="4"/>
      <c r="N225" s="4"/>
    </row>
    <row r="226" customFormat="false" ht="15" hidden="false" customHeight="false" outlineLevel="0" collapsed="false">
      <c r="A226" s="4" t="s">
        <v>2679</v>
      </c>
      <c r="B226" s="4" t="s">
        <v>2421</v>
      </c>
      <c r="C226" s="4" t="s">
        <v>2422</v>
      </c>
      <c r="D226" s="4" t="s">
        <v>2423</v>
      </c>
      <c r="E226" s="4" t="s">
        <v>585</v>
      </c>
      <c r="F226" s="4"/>
      <c r="G226" s="4" t="n">
        <v>0</v>
      </c>
      <c r="H226" s="4"/>
      <c r="I226" s="4" t="n">
        <v>0</v>
      </c>
      <c r="J226" s="4"/>
      <c r="K226" s="4"/>
      <c r="L226" s="4"/>
      <c r="M226" s="4"/>
      <c r="N226" s="4"/>
    </row>
    <row r="227" customFormat="false" ht="15" hidden="false" customHeight="false" outlineLevel="0" collapsed="false">
      <c r="A227" s="4" t="s">
        <v>2680</v>
      </c>
      <c r="B227" s="4" t="s">
        <v>65</v>
      </c>
      <c r="C227" s="4" t="s">
        <v>2422</v>
      </c>
      <c r="D227" s="4" t="s">
        <v>2427</v>
      </c>
      <c r="E227" s="4" t="s">
        <v>1338</v>
      </c>
      <c r="F227" s="4" t="s">
        <v>65</v>
      </c>
      <c r="G227" s="4" t="n">
        <v>2.75</v>
      </c>
      <c r="H227" s="4"/>
      <c r="I227" s="4" t="n">
        <v>0</v>
      </c>
      <c r="J227" s="4" t="n">
        <v>18</v>
      </c>
      <c r="K227" s="4" t="n">
        <v>20.5</v>
      </c>
      <c r="L227" s="4" t="n">
        <v>23</v>
      </c>
      <c r="M227" s="4" t="n">
        <v>25.5</v>
      </c>
      <c r="N227" s="4" t="n">
        <v>28</v>
      </c>
      <c r="O227" s="9" t="n">
        <f aca="false">MAX(1,MIN(5,1+INT(IFERROR(INDEX(Calculator!$E$6:$E$23,MATCH("WND",Calculator!$A$6:$A$23,0)),0)/20)))</f>
        <v>1</v>
      </c>
      <c r="P227" s="24" t="n">
        <f aca="false">INDEX(J227:N227,O227)*(1+(IFERROR(G227/10*INDEX(Calculator!$E$6:$E$23,MATCH(F227,Calculator!$A$6:$A$23,0))/100,0)+IFERROR(I227/10*INDEX(Calculator!$E$6:$E$23,MATCH(H227,Calculator!$A$6:$A$23,0))/100,0))*(1+Constants!$B$25*Calculator!$C$28))*(1+Calculator!$C$45)*(1-(1-MIN(0.5,Constants!$B$26*Calculator!$C$28))*Constants!$B$6)</f>
        <v>16.7535</v>
      </c>
    </row>
    <row r="228" customFormat="false" ht="15" hidden="false" customHeight="false" outlineLevel="0" collapsed="false">
      <c r="A228" s="4" t="s">
        <v>2681</v>
      </c>
      <c r="B228" s="4" t="s">
        <v>65</v>
      </c>
      <c r="C228" s="4" t="s">
        <v>2422</v>
      </c>
      <c r="D228" s="4" t="s">
        <v>2427</v>
      </c>
      <c r="E228" s="4" t="s">
        <v>696</v>
      </c>
      <c r="F228" s="4" t="s">
        <v>65</v>
      </c>
      <c r="G228" s="4" t="n">
        <v>2.75</v>
      </c>
      <c r="H228" s="4"/>
      <c r="I228" s="4" t="n">
        <v>0</v>
      </c>
      <c r="J228" s="4" t="n">
        <v>20.4</v>
      </c>
      <c r="K228" s="4" t="n">
        <v>26.4</v>
      </c>
      <c r="L228" s="4" t="n">
        <v>32.4</v>
      </c>
      <c r="M228" s="4" t="n">
        <v>38.4</v>
      </c>
      <c r="N228" s="4" t="n">
        <v>44.4</v>
      </c>
      <c r="O228" s="9" t="n">
        <f aca="false">MAX(1,MIN(5,1+INT(IFERROR(INDEX(Calculator!$E$6:$E$23,MATCH("WND",Calculator!$A$6:$A$23,0)),0)/20)))</f>
        <v>1</v>
      </c>
      <c r="P228" s="24" t="n">
        <f aca="false">INDEX(J228:N228,O228)*(1+(IFERROR(G228/10*INDEX(Calculator!$E$6:$E$23,MATCH(F228,Calculator!$A$6:$A$23,0))/100,0)+IFERROR(I228/10*INDEX(Calculator!$E$6:$E$23,MATCH(H228,Calculator!$A$6:$A$23,0))/100,0))*(1+Constants!$B$25*Calculator!$C$28))*(1+Calculator!$C$45)*(1-(1-MIN(0.5,Constants!$B$26*Calculator!$C$28))*Constants!$B$6)</f>
        <v>18.9873</v>
      </c>
    </row>
    <row r="229" customFormat="false" ht="15" hidden="false" customHeight="false" outlineLevel="0" collapsed="false">
      <c r="A229" s="4" t="s">
        <v>2682</v>
      </c>
      <c r="B229" s="4" t="s">
        <v>65</v>
      </c>
      <c r="C229" s="4" t="s">
        <v>2422</v>
      </c>
      <c r="D229" s="4" t="s">
        <v>2427</v>
      </c>
      <c r="E229" s="4" t="s">
        <v>400</v>
      </c>
      <c r="F229" s="4" t="s">
        <v>65</v>
      </c>
      <c r="G229" s="4" t="n">
        <v>2.75</v>
      </c>
      <c r="H229" s="4"/>
      <c r="I229" s="4" t="n">
        <v>0</v>
      </c>
      <c r="J229" s="4" t="n">
        <v>20</v>
      </c>
      <c r="K229" s="4" t="n">
        <v>24</v>
      </c>
      <c r="L229" s="4" t="n">
        <v>28</v>
      </c>
      <c r="M229" s="4" t="n">
        <v>32</v>
      </c>
      <c r="N229" s="4" t="n">
        <v>36</v>
      </c>
      <c r="O229" s="9" t="n">
        <f aca="false">MAX(1,MIN(5,1+INT(IFERROR(INDEX(Calculator!$E$6:$E$23,MATCH("WND",Calculator!$A$6:$A$23,0)),0)/20)))</f>
        <v>1</v>
      </c>
      <c r="P229" s="24" t="n">
        <f aca="false">INDEX(J229:N229,O229)*(1+(IFERROR(G229/10*INDEX(Calculator!$E$6:$E$23,MATCH(F229,Calculator!$A$6:$A$23,0))/100,0)+IFERROR(I229/10*INDEX(Calculator!$E$6:$E$23,MATCH(H229,Calculator!$A$6:$A$23,0))/100,0))*(1+Constants!$B$25*Calculator!$C$28))*(1+Calculator!$C$45)*(1-(1-MIN(0.5,Constants!$B$26*Calculator!$C$28))*Constants!$B$6)</f>
        <v>18.615</v>
      </c>
    </row>
    <row r="230" customFormat="false" ht="15" hidden="false" customHeight="false" outlineLevel="0" collapsed="false">
      <c r="A230" s="4" t="s">
        <v>2683</v>
      </c>
      <c r="B230" s="4" t="s">
        <v>65</v>
      </c>
      <c r="C230" s="4" t="s">
        <v>2422</v>
      </c>
      <c r="D230" s="4" t="s">
        <v>2427</v>
      </c>
      <c r="E230" s="4" t="s">
        <v>696</v>
      </c>
      <c r="F230" s="4" t="s">
        <v>65</v>
      </c>
      <c r="G230" s="4" t="n">
        <v>2.75</v>
      </c>
      <c r="H230" s="4"/>
      <c r="I230" s="4" t="n">
        <v>0</v>
      </c>
      <c r="J230" s="4" t="n">
        <v>32</v>
      </c>
      <c r="K230" s="4" t="n">
        <v>36</v>
      </c>
      <c r="L230" s="4" t="n">
        <v>40</v>
      </c>
      <c r="M230" s="4" t="n">
        <v>44</v>
      </c>
      <c r="N230" s="4" t="n">
        <v>48</v>
      </c>
      <c r="O230" s="9" t="n">
        <f aca="false">MAX(1,MIN(5,1+INT(IFERROR(INDEX(Calculator!$E$6:$E$23,MATCH("WND",Calculator!$A$6:$A$23,0)),0)/20)))</f>
        <v>1</v>
      </c>
      <c r="P230" s="24" t="n">
        <f aca="false">INDEX(J230:N230,O230)*(1+(IFERROR(G230/10*INDEX(Calculator!$E$6:$E$23,MATCH(F230,Calculator!$A$6:$A$23,0))/100,0)+IFERROR(I230/10*INDEX(Calculator!$E$6:$E$23,MATCH(H230,Calculator!$A$6:$A$23,0))/100,0))*(1+Constants!$B$25*Calculator!$C$28))*(1+Calculator!$C$45)*(1-(1-MIN(0.5,Constants!$B$26*Calculator!$C$28))*Constants!$B$6)</f>
        <v>29.784</v>
      </c>
    </row>
    <row r="231" customFormat="false" ht="15" hidden="false" customHeight="false" outlineLevel="0" collapsed="false">
      <c r="A231" s="4" t="s">
        <v>2684</v>
      </c>
      <c r="B231" s="4" t="s">
        <v>65</v>
      </c>
      <c r="C231" s="4" t="s">
        <v>2429</v>
      </c>
      <c r="D231" s="4" t="s">
        <v>2427</v>
      </c>
      <c r="E231" s="4" t="s">
        <v>497</v>
      </c>
      <c r="F231" s="4" t="s">
        <v>65</v>
      </c>
      <c r="G231" s="4" t="n">
        <v>2.75</v>
      </c>
      <c r="H231" s="4"/>
      <c r="I231" s="4" t="n">
        <v>0</v>
      </c>
      <c r="J231" s="4" t="n">
        <v>18.5</v>
      </c>
      <c r="K231" s="4" t="n">
        <v>27.5</v>
      </c>
      <c r="L231" s="4" t="n">
        <v>36.5</v>
      </c>
      <c r="M231" s="4" t="n">
        <v>45.5</v>
      </c>
      <c r="N231" s="4" t="n">
        <v>54.5</v>
      </c>
      <c r="O231" s="9" t="n">
        <f aca="false">MAX(1,MIN(5,1+INT(IFERROR(INDEX(Calculator!$E$6:$E$23,MATCH("WND",Calculator!$A$6:$A$23,0)),0)/20)))</f>
        <v>1</v>
      </c>
      <c r="P231" s="24" t="n">
        <f aca="false">INDEX(J231:N231,O231)*(1+(IFERROR(G231/10*INDEX(Calculator!$E$6:$E$23,MATCH(F231,Calculator!$A$6:$A$23,0))/100,0)+IFERROR(I231/10*INDEX(Calculator!$E$6:$E$23,MATCH(H231,Calculator!$A$6:$A$23,0))/100,0))*(1+Constants!$B$25*Calculator!$C$28))*(1+Calculator!$C$45)*(1-(1-MIN(0.5,Constants!$B$26*Calculator!$C$28))*Constants!$B$6)</f>
        <v>17.218875</v>
      </c>
    </row>
  </sheetData>
  <autoFilter ref="A1:P2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34"/>
    <col collapsed="false" customWidth="true" hidden="false" outlineLevel="0" max="4" min="4" style="0" width="11"/>
    <col collapsed="false" customWidth="true" hidden="false" outlineLevel="0" max="5" min="5" style="0" width="8"/>
    <col collapsed="false" customWidth="true" hidden="false" outlineLevel="0" max="6" min="6" style="0" width="10"/>
    <col collapsed="false" customWidth="true" hidden="false" outlineLevel="0" max="7" min="7" style="0" width="8"/>
    <col collapsed="false" customWidth="true" hidden="false" outlineLevel="0" max="8" min="8" style="0" width="10"/>
    <col collapsed="false" customWidth="true" hidden="false" outlineLevel="0" max="9" min="9" style="0" width="8"/>
    <col collapsed="false" customWidth="true" hidden="false" outlineLevel="0" max="10" min="10" style="0" width="10"/>
    <col collapsed="false" customWidth="true" hidden="false" outlineLevel="0" max="11" min="11" style="0" width="8"/>
    <col collapsed="false" customWidth="true" hidden="false" outlineLevel="0" max="12" min="12" style="0" width="14"/>
  </cols>
  <sheetData>
    <row r="1" customFormat="false" ht="35.05" hidden="false" customHeight="false" outlineLevel="0" collapsed="false">
      <c r="A1" s="21" t="s">
        <v>2685</v>
      </c>
      <c r="B1" s="21" t="s">
        <v>2408</v>
      </c>
      <c r="C1" s="21" t="s">
        <v>343</v>
      </c>
      <c r="D1" s="21" t="s">
        <v>93</v>
      </c>
      <c r="E1" s="21" t="s">
        <v>2686</v>
      </c>
      <c r="F1" s="21" t="s">
        <v>2409</v>
      </c>
      <c r="G1" s="21" t="s">
        <v>2410</v>
      </c>
      <c r="H1" s="21" t="s">
        <v>2411</v>
      </c>
      <c r="I1" s="21" t="s">
        <v>2412</v>
      </c>
      <c r="J1" s="21" t="s">
        <v>2687</v>
      </c>
      <c r="K1" s="21" t="s">
        <v>2688</v>
      </c>
      <c r="L1" s="21" t="s">
        <v>2419</v>
      </c>
    </row>
    <row r="2" customFormat="false" ht="15" hidden="false" customHeight="false" outlineLevel="0" collapsed="false">
      <c r="A2" s="4" t="s">
        <v>2689</v>
      </c>
      <c r="B2" s="4" t="s">
        <v>2690</v>
      </c>
      <c r="C2" s="4" t="s">
        <v>2691</v>
      </c>
      <c r="D2" s="4" t="n">
        <v>18</v>
      </c>
      <c r="E2" s="4" t="n">
        <v>0.15</v>
      </c>
      <c r="F2" s="4" t="s">
        <v>55</v>
      </c>
      <c r="G2" s="4" t="n">
        <v>6</v>
      </c>
      <c r="H2" s="4"/>
      <c r="I2" s="4" t="n">
        <v>0</v>
      </c>
      <c r="J2" s="4"/>
      <c r="K2" s="4" t="n">
        <v>0</v>
      </c>
      <c r="L2" s="24" t="n">
        <f aca="false">D2*(1+0.75*(IFERROR(G2*INDEX(Calculator!$E$6:$E$23,MATCH(F2,Calculator!$A$6:$A$23,0)),0)+IFERROR(I2*INDEX(Calculator!$E$6:$E$23,MATCH(H2,Calculator!$A$6:$A$23,0)),0)+IFERROR(K2*INDEX(Calculator!$E$6:$E$23,MATCH(J2,Calculator!$A$6:$A$23,0)),0))*(1+Constants!$B$23*Calculator!$C$27)/1000)*(1+Calculator!$C$45+Calculator!$C$37)*Calculator!$C$39*(1-(1-MIN(Calculator!$C$44,MIN(1,E2+Calculator!$E$6/10*Constants!$B$16+Calculator!$C$36+Calculator!$C$40+Constants!$B$24*Calculator!$C$27)))*Constants!$B$6)</f>
        <v>27.2947522608</v>
      </c>
    </row>
    <row r="3" customFormat="false" ht="15" hidden="false" customHeight="false" outlineLevel="0" collapsed="false">
      <c r="A3" s="4" t="s">
        <v>2692</v>
      </c>
      <c r="B3" s="4" t="s">
        <v>2693</v>
      </c>
      <c r="C3" s="4" t="s">
        <v>2694</v>
      </c>
      <c r="D3" s="4" t="n">
        <v>24</v>
      </c>
      <c r="E3" s="4" t="n">
        <v>0</v>
      </c>
      <c r="F3" s="4" t="s">
        <v>53</v>
      </c>
      <c r="G3" s="4" t="n">
        <v>7</v>
      </c>
      <c r="H3" s="4"/>
      <c r="I3" s="4" t="n">
        <v>0</v>
      </c>
      <c r="J3" s="4"/>
      <c r="K3" s="4" t="n">
        <v>0</v>
      </c>
      <c r="L3" s="24" t="n">
        <f aca="false">D3*(1+0.75*(IFERROR(G3*INDEX(Calculator!$E$6:$E$23,MATCH(F3,Calculator!$A$6:$A$23,0)),0)+IFERROR(I3*INDEX(Calculator!$E$6:$E$23,MATCH(H3,Calculator!$A$6:$A$23,0)),0)+IFERROR(K3*INDEX(Calculator!$E$6:$E$23,MATCH(J3,Calculator!$A$6:$A$23,0)),0))*(1+Constants!$B$23*Calculator!$C$27)/1000)*(1+Calculator!$C$45+Calculator!$C$37)*Calculator!$C$39*(1-(1-MIN(Calculator!$C$44,MIN(1,E3+Calculator!$E$6/10*Constants!$B$16+Calculator!$C$36+Calculator!$C$40+Constants!$B$24*Calculator!$C$27)))*Constants!$B$6)</f>
        <v>22.53996</v>
      </c>
    </row>
    <row r="4" customFormat="false" ht="15" hidden="false" customHeight="false" outlineLevel="0" collapsed="false">
      <c r="A4" s="4" t="s">
        <v>2695</v>
      </c>
      <c r="B4" s="4" t="s">
        <v>2693</v>
      </c>
      <c r="C4" s="4" t="s">
        <v>1464</v>
      </c>
      <c r="D4" s="4" t="n">
        <v>24</v>
      </c>
      <c r="E4" s="4" t="n">
        <v>0.1</v>
      </c>
      <c r="F4" s="4" t="s">
        <v>53</v>
      </c>
      <c r="G4" s="4" t="n">
        <v>8</v>
      </c>
      <c r="H4" s="4"/>
      <c r="I4" s="4" t="n">
        <v>0</v>
      </c>
      <c r="J4" s="4"/>
      <c r="K4" s="4" t="n">
        <v>0</v>
      </c>
      <c r="L4" s="24" t="n">
        <f aca="false">D4*(1+0.75*(IFERROR(G4*INDEX(Calculator!$E$6:$E$23,MATCH(F4,Calculator!$A$6:$A$23,0)),0)+IFERROR(I4*INDEX(Calculator!$E$6:$E$23,MATCH(H4,Calculator!$A$6:$A$23,0)),0)+IFERROR(K4*INDEX(Calculator!$E$6:$E$23,MATCH(J4,Calculator!$A$6:$A$23,0)),0))*(1+Constants!$B$23*Calculator!$C$27)/1000)*(1+Calculator!$C$45+Calculator!$C$37)*Calculator!$C$39*(1-(1-MIN(Calculator!$C$44,MIN(1,E4+Calculator!$E$6/10*Constants!$B$16+Calculator!$C$36+Calculator!$C$40+Constants!$B$24*Calculator!$C$27)))*Constants!$B$6)</f>
        <v>23.45796</v>
      </c>
    </row>
    <row r="5" customFormat="false" ht="15" hidden="false" customHeight="false" outlineLevel="0" collapsed="false">
      <c r="A5" s="4" t="s">
        <v>2696</v>
      </c>
      <c r="B5" s="4" t="s">
        <v>2693</v>
      </c>
      <c r="C5" s="4" t="s">
        <v>1464</v>
      </c>
      <c r="D5" s="4" t="n">
        <v>24</v>
      </c>
      <c r="E5" s="4" t="n">
        <v>0.2</v>
      </c>
      <c r="F5" s="4" t="s">
        <v>53</v>
      </c>
      <c r="G5" s="4" t="n">
        <v>9</v>
      </c>
      <c r="H5" s="4"/>
      <c r="I5" s="4" t="n">
        <v>0</v>
      </c>
      <c r="J5" s="4"/>
      <c r="K5" s="4" t="n">
        <v>0</v>
      </c>
      <c r="L5" s="24" t="n">
        <f aca="false">D5*(1+0.75*(IFERROR(G5*INDEX(Calculator!$E$6:$E$23,MATCH(F5,Calculator!$A$6:$A$23,0)),0)+IFERROR(I5*INDEX(Calculator!$E$6:$E$23,MATCH(H5,Calculator!$A$6:$A$23,0)),0)+IFERROR(K5*INDEX(Calculator!$E$6:$E$23,MATCH(J5,Calculator!$A$6:$A$23,0)),0))*(1+Constants!$B$23*Calculator!$C$27)/1000)*(1+Calculator!$C$45+Calculator!$C$37)*Calculator!$C$39*(1-(1-MIN(Calculator!$C$44,MIN(1,E5+Calculator!$E$6/10*Constants!$B$16+Calculator!$C$36+Calculator!$C$40+Constants!$B$24*Calculator!$C$27)))*Constants!$B$6)</f>
        <v>24.37596</v>
      </c>
    </row>
    <row r="6" customFormat="false" ht="15" hidden="false" customHeight="false" outlineLevel="0" collapsed="false">
      <c r="A6" s="4" t="s">
        <v>2697</v>
      </c>
      <c r="B6" s="4" t="s">
        <v>2698</v>
      </c>
      <c r="C6" s="4" t="s">
        <v>1712</v>
      </c>
      <c r="D6" s="4" t="n">
        <v>22.5</v>
      </c>
      <c r="E6" s="4" t="n">
        <v>0.1</v>
      </c>
      <c r="F6" s="4" t="s">
        <v>55</v>
      </c>
      <c r="G6" s="4" t="n">
        <v>5.5</v>
      </c>
      <c r="H6" s="4"/>
      <c r="I6" s="4" t="n">
        <v>0</v>
      </c>
      <c r="J6" s="4"/>
      <c r="K6" s="4" t="n">
        <v>0</v>
      </c>
      <c r="L6" s="24" t="n">
        <f aca="false">D6*(1+0.75*(IFERROR(G6*INDEX(Calculator!$E$6:$E$23,MATCH(F6,Calculator!$A$6:$A$23,0)),0)+IFERROR(I6*INDEX(Calculator!$E$6:$E$23,MATCH(H6,Calculator!$A$6:$A$23,0)),0)+IFERROR(K6*INDEX(Calculator!$E$6:$E$23,MATCH(J6,Calculator!$A$6:$A$23,0)),0))*(1+Constants!$B$23*Calculator!$C$27)/1000)*(1+Calculator!$C$45+Calculator!$C$37)*Calculator!$C$39*(1-(1-MIN(Calculator!$C$44,MIN(1,E6+Calculator!$E$6/10*Constants!$B$16+Calculator!$C$36+Calculator!$C$40+Constants!$B$24*Calculator!$C$27)))*Constants!$B$6)</f>
        <v>32.507674437375</v>
      </c>
    </row>
    <row r="7" customFormat="false" ht="15" hidden="false" customHeight="false" outlineLevel="0" collapsed="false">
      <c r="A7" s="4" t="s">
        <v>2699</v>
      </c>
      <c r="B7" s="4" t="s">
        <v>2700</v>
      </c>
      <c r="C7" s="4" t="s">
        <v>2701</v>
      </c>
      <c r="D7" s="4" t="n">
        <v>22</v>
      </c>
      <c r="E7" s="4" t="n">
        <v>0</v>
      </c>
      <c r="F7" s="4" t="s">
        <v>53</v>
      </c>
      <c r="G7" s="4" t="n">
        <v>10</v>
      </c>
      <c r="H7" s="4"/>
      <c r="I7" s="4" t="n">
        <v>0</v>
      </c>
      <c r="J7" s="4"/>
      <c r="K7" s="4" t="n">
        <v>0</v>
      </c>
      <c r="L7" s="24" t="n">
        <f aca="false">D7*(1+0.75*(IFERROR(G7*INDEX(Calculator!$E$6:$E$23,MATCH(F7,Calculator!$A$6:$A$23,0)),0)+IFERROR(I7*INDEX(Calculator!$E$6:$E$23,MATCH(H7,Calculator!$A$6:$A$23,0)),0)+IFERROR(K7*INDEX(Calculator!$E$6:$E$23,MATCH(J7,Calculator!$A$6:$A$23,0)),0))*(1+Constants!$B$23*Calculator!$C$27)/1000)*(1+Calculator!$C$45+Calculator!$C$37)*Calculator!$C$39*(1-(1-MIN(Calculator!$C$44,MIN(1,E7+Calculator!$E$6/10*Constants!$B$16+Calculator!$C$36+Calculator!$C$40+Constants!$B$24*Calculator!$C$27)))*Constants!$B$6)</f>
        <v>20.66163</v>
      </c>
    </row>
    <row r="8" customFormat="false" ht="15" hidden="false" customHeight="false" outlineLevel="0" collapsed="false">
      <c r="A8" s="4" t="s">
        <v>2702</v>
      </c>
      <c r="B8" s="4" t="s">
        <v>2703</v>
      </c>
      <c r="C8" s="4" t="s">
        <v>1618</v>
      </c>
      <c r="D8" s="4" t="n">
        <v>16</v>
      </c>
      <c r="E8" s="4" t="n">
        <v>0.05</v>
      </c>
      <c r="F8" s="4" t="s">
        <v>57</v>
      </c>
      <c r="G8" s="4" t="n">
        <v>12</v>
      </c>
      <c r="H8" s="4"/>
      <c r="I8" s="4" t="n">
        <v>0</v>
      </c>
      <c r="J8" s="4"/>
      <c r="K8" s="4" t="n">
        <v>0</v>
      </c>
      <c r="L8" s="24" t="n">
        <f aca="false">D8*(1+0.75*(IFERROR(G8*INDEX(Calculator!$E$6:$E$23,MATCH(F8,Calculator!$A$6:$A$23,0)),0)+IFERROR(I8*INDEX(Calculator!$E$6:$E$23,MATCH(H8,Calculator!$A$6:$A$23,0)),0)+IFERROR(K8*INDEX(Calculator!$E$6:$E$23,MATCH(J8,Calculator!$A$6:$A$23,0)),0))*(1+Constants!$B$23*Calculator!$C$27)/1000)*(1+Calculator!$C$45+Calculator!$C$37)*Calculator!$C$39*(1-(1-MIN(Calculator!$C$44,MIN(1,E8+Calculator!$E$6/10*Constants!$B$16+Calculator!$C$36+Calculator!$C$40+Constants!$B$24*Calculator!$C$27)))*Constants!$B$6)</f>
        <v>15.33264</v>
      </c>
    </row>
    <row r="9" customFormat="false" ht="15" hidden="false" customHeight="false" outlineLevel="0" collapsed="false">
      <c r="A9" s="4" t="s">
        <v>2704</v>
      </c>
      <c r="B9" s="4" t="s">
        <v>2698</v>
      </c>
      <c r="C9" s="4" t="s">
        <v>1712</v>
      </c>
      <c r="D9" s="4" t="n">
        <v>18</v>
      </c>
      <c r="E9" s="4" t="n">
        <v>0.2</v>
      </c>
      <c r="F9" s="4" t="s">
        <v>55</v>
      </c>
      <c r="G9" s="4" t="n">
        <v>7</v>
      </c>
      <c r="H9" s="4"/>
      <c r="I9" s="4" t="n">
        <v>0</v>
      </c>
      <c r="J9" s="4"/>
      <c r="K9" s="4" t="n">
        <v>0</v>
      </c>
      <c r="L9" s="24" t="n">
        <f aca="false">D9*(1+0.75*(IFERROR(G9*INDEX(Calculator!$E$6:$E$23,MATCH(F9,Calculator!$A$6:$A$23,0)),0)+IFERROR(I9*INDEX(Calculator!$E$6:$E$23,MATCH(H9,Calculator!$A$6:$A$23,0)),0)+IFERROR(K9*INDEX(Calculator!$E$6:$E$23,MATCH(J9,Calculator!$A$6:$A$23,0)),0))*(1+Constants!$B$23*Calculator!$C$27)/1000)*(1+Calculator!$C$45+Calculator!$C$37)*Calculator!$C$39*(1-(1-MIN(Calculator!$C$44,MIN(1,E9+Calculator!$E$6/10*Constants!$B$16+Calculator!$C$36+Calculator!$C$40+Constants!$B$24*Calculator!$C$27)))*Constants!$B$6)</f>
        <v>29.4080113026</v>
      </c>
    </row>
    <row r="10" customFormat="false" ht="15" hidden="false" customHeight="false" outlineLevel="0" collapsed="false">
      <c r="A10" s="4" t="s">
        <v>2705</v>
      </c>
      <c r="B10" s="4" t="s">
        <v>2706</v>
      </c>
      <c r="C10" s="4" t="s">
        <v>2701</v>
      </c>
      <c r="D10" s="4" t="n">
        <v>25.5</v>
      </c>
      <c r="E10" s="4" t="n">
        <v>0</v>
      </c>
      <c r="F10" s="4" t="s">
        <v>53</v>
      </c>
      <c r="G10" s="4" t="n">
        <v>8</v>
      </c>
      <c r="H10" s="4"/>
      <c r="I10" s="4" t="n">
        <v>0</v>
      </c>
      <c r="J10" s="4"/>
      <c r="K10" s="4" t="n">
        <v>0</v>
      </c>
      <c r="L10" s="24" t="n">
        <f aca="false">D10*(1+0.75*(IFERROR(G10*INDEX(Calculator!$E$6:$E$23,MATCH(F10,Calculator!$A$6:$A$23,0)),0)+IFERROR(I10*INDEX(Calculator!$E$6:$E$23,MATCH(H10,Calculator!$A$6:$A$23,0)),0)+IFERROR(K10*INDEX(Calculator!$E$6:$E$23,MATCH(J10,Calculator!$A$6:$A$23,0)),0))*(1+Constants!$B$23*Calculator!$C$27)/1000)*(1+Calculator!$C$45+Calculator!$C$37)*Calculator!$C$39*(1-(1-MIN(Calculator!$C$44,MIN(1,E10+Calculator!$E$6/10*Constants!$B$16+Calculator!$C$36+Calculator!$C$40+Constants!$B$24*Calculator!$C$27)))*Constants!$B$6)</f>
        <v>23.9487075</v>
      </c>
    </row>
    <row r="11" customFormat="false" ht="15" hidden="false" customHeight="false" outlineLevel="0" collapsed="false">
      <c r="A11" s="4" t="s">
        <v>2707</v>
      </c>
      <c r="B11" s="4" t="s">
        <v>2693</v>
      </c>
      <c r="C11" s="4" t="s">
        <v>1464</v>
      </c>
      <c r="D11" s="4" t="n">
        <v>24</v>
      </c>
      <c r="E11" s="4" t="n">
        <v>0.15</v>
      </c>
      <c r="F11" s="4" t="s">
        <v>53</v>
      </c>
      <c r="G11" s="4" t="n">
        <v>8</v>
      </c>
      <c r="H11" s="4"/>
      <c r="I11" s="4" t="n">
        <v>0</v>
      </c>
      <c r="J11" s="4"/>
      <c r="K11" s="4" t="n">
        <v>0</v>
      </c>
      <c r="L11" s="24" t="n">
        <f aca="false">D11*(1+0.75*(IFERROR(G11*INDEX(Calculator!$E$6:$E$23,MATCH(F11,Calculator!$A$6:$A$23,0)),0)+IFERROR(I11*INDEX(Calculator!$E$6:$E$23,MATCH(H11,Calculator!$A$6:$A$23,0)),0)+IFERROR(K11*INDEX(Calculator!$E$6:$E$23,MATCH(J11,Calculator!$A$6:$A$23,0)),0))*(1+Constants!$B$23*Calculator!$C$27)/1000)*(1+Calculator!$C$45+Calculator!$C$37)*Calculator!$C$39*(1-(1-MIN(Calculator!$C$44,MIN(1,E11+Calculator!$E$6/10*Constants!$B$16+Calculator!$C$36+Calculator!$C$40+Constants!$B$24*Calculator!$C$27)))*Constants!$B$6)</f>
        <v>23.91696</v>
      </c>
    </row>
    <row r="12" customFormat="false" ht="15" hidden="false" customHeight="false" outlineLevel="0" collapsed="false">
      <c r="A12" s="4" t="s">
        <v>2708</v>
      </c>
      <c r="B12" s="4" t="s">
        <v>2700</v>
      </c>
      <c r="C12" s="4" t="s">
        <v>2701</v>
      </c>
      <c r="D12" s="4" t="n">
        <v>24</v>
      </c>
      <c r="E12" s="4" t="n">
        <v>0.15</v>
      </c>
      <c r="F12" s="4" t="s">
        <v>53</v>
      </c>
      <c r="G12" s="4" t="n">
        <v>8</v>
      </c>
      <c r="H12" s="4"/>
      <c r="I12" s="4" t="n">
        <v>0</v>
      </c>
      <c r="J12" s="4"/>
      <c r="K12" s="4" t="n">
        <v>0</v>
      </c>
      <c r="L12" s="24" t="n">
        <f aca="false">D12*(1+0.75*(IFERROR(G12*INDEX(Calculator!$E$6:$E$23,MATCH(F12,Calculator!$A$6:$A$23,0)),0)+IFERROR(I12*INDEX(Calculator!$E$6:$E$23,MATCH(H12,Calculator!$A$6:$A$23,0)),0)+IFERROR(K12*INDEX(Calculator!$E$6:$E$23,MATCH(J12,Calculator!$A$6:$A$23,0)),0))*(1+Constants!$B$23*Calculator!$C$27)/1000)*(1+Calculator!$C$45+Calculator!$C$37)*Calculator!$C$39*(1-(1-MIN(Calculator!$C$44,MIN(1,E12+Calculator!$E$6/10*Constants!$B$16+Calculator!$C$36+Calculator!$C$40+Constants!$B$24*Calculator!$C$27)))*Constants!$B$6)</f>
        <v>23.91696</v>
      </c>
    </row>
    <row r="13" customFormat="false" ht="15" hidden="false" customHeight="false" outlineLevel="0" collapsed="false">
      <c r="A13" s="4" t="s">
        <v>2709</v>
      </c>
      <c r="B13" s="4" t="s">
        <v>2698</v>
      </c>
      <c r="C13" s="4" t="s">
        <v>1712</v>
      </c>
      <c r="D13" s="4" t="n">
        <v>20</v>
      </c>
      <c r="E13" s="4" t="n">
        <v>0.1</v>
      </c>
      <c r="F13" s="4" t="s">
        <v>55</v>
      </c>
      <c r="G13" s="4" t="n">
        <v>7</v>
      </c>
      <c r="H13" s="4"/>
      <c r="I13" s="4" t="n">
        <v>0</v>
      </c>
      <c r="J13" s="4"/>
      <c r="K13" s="4" t="n">
        <v>0</v>
      </c>
      <c r="L13" s="24" t="n">
        <f aca="false">D13*(1+0.75*(IFERROR(G13*INDEX(Calculator!$E$6:$E$23,MATCH(F13,Calculator!$A$6:$A$23,0)),0)+IFERROR(I13*INDEX(Calculator!$E$6:$E$23,MATCH(H13,Calculator!$A$6:$A$23,0)),0)+IFERROR(K13*INDEX(Calculator!$E$6:$E$23,MATCH(J13,Calculator!$A$6:$A$23,0)),0))*(1+Constants!$B$23*Calculator!$C$27)/1000)*(1+Calculator!$C$45+Calculator!$C$37)*Calculator!$C$39*(1-(1-MIN(Calculator!$C$44,MIN(1,E13+Calculator!$E$6/10*Constants!$B$16+Calculator!$C$36+Calculator!$C$40+Constants!$B$24*Calculator!$C$27)))*Constants!$B$6)</f>
        <v>31.445004414</v>
      </c>
    </row>
    <row r="14" customFormat="false" ht="15" hidden="false" customHeight="false" outlineLevel="0" collapsed="false">
      <c r="A14" s="4" t="s">
        <v>2710</v>
      </c>
      <c r="B14" s="4" t="s">
        <v>2690</v>
      </c>
      <c r="C14" s="4" t="s">
        <v>1712</v>
      </c>
      <c r="D14" s="4" t="n">
        <v>20</v>
      </c>
      <c r="E14" s="4" t="n">
        <v>0.1</v>
      </c>
      <c r="F14" s="4" t="s">
        <v>55</v>
      </c>
      <c r="G14" s="4" t="n">
        <v>6.5</v>
      </c>
      <c r="H14" s="4"/>
      <c r="I14" s="4" t="n">
        <v>0</v>
      </c>
      <c r="J14" s="4"/>
      <c r="K14" s="4" t="n">
        <v>0</v>
      </c>
      <c r="L14" s="24" t="n">
        <f aca="false">D14*(1+0.75*(IFERROR(G14*INDEX(Calculator!$E$6:$E$23,MATCH(F14,Calculator!$A$6:$A$23,0)),0)+IFERROR(I14*INDEX(Calculator!$E$6:$E$23,MATCH(H14,Calculator!$A$6:$A$23,0)),0)+IFERROR(K14*INDEX(Calculator!$E$6:$E$23,MATCH(J14,Calculator!$A$6:$A$23,0)),0))*(1+Constants!$B$23*Calculator!$C$27)/1000)*(1+Calculator!$C$45+Calculator!$C$37)*Calculator!$C$39*(1-(1-MIN(Calculator!$C$44,MIN(1,E14+Calculator!$E$6/10*Constants!$B$16+Calculator!$C$36+Calculator!$C$40+Constants!$B$24*Calculator!$C$27)))*Constants!$B$6)</f>
        <v>30.595239813</v>
      </c>
    </row>
    <row r="15" customFormat="false" ht="15" hidden="false" customHeight="false" outlineLevel="0" collapsed="false">
      <c r="A15" s="4" t="s">
        <v>2711</v>
      </c>
      <c r="B15" s="4" t="s">
        <v>2698</v>
      </c>
      <c r="C15" s="4" t="s">
        <v>1712</v>
      </c>
      <c r="D15" s="4" t="n">
        <v>21</v>
      </c>
      <c r="E15" s="4" t="n">
        <v>0.15</v>
      </c>
      <c r="F15" s="4" t="s">
        <v>55</v>
      </c>
      <c r="G15" s="4" t="n">
        <v>6</v>
      </c>
      <c r="H15" s="4"/>
      <c r="I15" s="4" t="n">
        <v>0</v>
      </c>
      <c r="J15" s="4"/>
      <c r="K15" s="4" t="n">
        <v>0</v>
      </c>
      <c r="L15" s="24" t="n">
        <f aca="false">D15*(1+0.75*(IFERROR(G15*INDEX(Calculator!$E$6:$E$23,MATCH(F15,Calculator!$A$6:$A$23,0)),0)+IFERROR(I15*INDEX(Calculator!$E$6:$E$23,MATCH(H15,Calculator!$A$6:$A$23,0)),0)+IFERROR(K15*INDEX(Calculator!$E$6:$E$23,MATCH(J15,Calculator!$A$6:$A$23,0)),0))*(1+Constants!$B$23*Calculator!$C$27)/1000)*(1+Calculator!$C$45+Calculator!$C$37)*Calculator!$C$39*(1-(1-MIN(Calculator!$C$44,MIN(1,E15+Calculator!$E$6/10*Constants!$B$16+Calculator!$C$36+Calculator!$C$40+Constants!$B$24*Calculator!$C$27)))*Constants!$B$6)</f>
        <v>31.8438776376</v>
      </c>
    </row>
    <row r="16" customFormat="false" ht="15" hidden="false" customHeight="false" outlineLevel="0" collapsed="false">
      <c r="A16" s="4" t="s">
        <v>2712</v>
      </c>
      <c r="B16" s="4" t="s">
        <v>2698</v>
      </c>
      <c r="C16" s="4" t="s">
        <v>1712</v>
      </c>
      <c r="D16" s="4" t="n">
        <v>23</v>
      </c>
      <c r="E16" s="4" t="n">
        <v>0</v>
      </c>
      <c r="F16" s="4" t="s">
        <v>55</v>
      </c>
      <c r="G16" s="4" t="n">
        <v>4.8</v>
      </c>
      <c r="H16" s="4"/>
      <c r="I16" s="4" t="n">
        <v>0</v>
      </c>
      <c r="J16" s="4"/>
      <c r="K16" s="4" t="n">
        <v>0</v>
      </c>
      <c r="L16" s="24" t="n">
        <f aca="false">D16*(1+0.75*(IFERROR(G16*INDEX(Calculator!$E$6:$E$23,MATCH(F16,Calculator!$A$6:$A$23,0)),0)+IFERROR(I16*INDEX(Calculator!$E$6:$E$23,MATCH(H16,Calculator!$A$6:$A$23,0)),0)+IFERROR(K16*INDEX(Calculator!$E$6:$E$23,MATCH(J16,Calculator!$A$6:$A$23,0)),0))*(1+Constants!$B$23*Calculator!$C$27)/1000)*(1+Calculator!$C$45+Calculator!$C$37)*Calculator!$C$39*(1-(1-MIN(Calculator!$C$44,MIN(1,E16+Calculator!$E$6/10*Constants!$B$16+Calculator!$C$36+Calculator!$C$40+Constants!$B$24*Calculator!$C$27)))*Constants!$B$6)</f>
        <v>30.61506596304</v>
      </c>
    </row>
    <row r="17" customFormat="false" ht="15" hidden="false" customHeight="false" outlineLevel="0" collapsed="false">
      <c r="A17" s="4" t="s">
        <v>2713</v>
      </c>
      <c r="B17" s="4" t="s">
        <v>1190</v>
      </c>
      <c r="C17" s="4" t="s">
        <v>2714</v>
      </c>
      <c r="D17" s="4" t="n">
        <v>20</v>
      </c>
      <c r="E17" s="4" t="n">
        <v>0.15</v>
      </c>
      <c r="F17" s="4" t="s">
        <v>55</v>
      </c>
      <c r="G17" s="4" t="n">
        <v>6</v>
      </c>
      <c r="H17" s="4"/>
      <c r="I17" s="4" t="n">
        <v>0</v>
      </c>
      <c r="J17" s="4"/>
      <c r="K17" s="4" t="n">
        <v>0</v>
      </c>
      <c r="L17" s="24" t="n">
        <f aca="false">D17*(1+0.75*(IFERROR(G17*INDEX(Calculator!$E$6:$E$23,MATCH(F17,Calculator!$A$6:$A$23,0)),0)+IFERROR(I17*INDEX(Calculator!$E$6:$E$23,MATCH(H17,Calculator!$A$6:$A$23,0)),0)+IFERROR(K17*INDEX(Calculator!$E$6:$E$23,MATCH(J17,Calculator!$A$6:$A$23,0)),0))*(1+Constants!$B$23*Calculator!$C$27)/1000)*(1+Calculator!$C$45+Calculator!$C$37)*Calculator!$C$39*(1-(1-MIN(Calculator!$C$44,MIN(1,E17+Calculator!$E$6/10*Constants!$B$16+Calculator!$C$36+Calculator!$C$40+Constants!$B$24*Calculator!$C$27)))*Constants!$B$6)</f>
        <v>30.327502512</v>
      </c>
    </row>
    <row r="18" customFormat="false" ht="15" hidden="false" customHeight="false" outlineLevel="0" collapsed="false">
      <c r="A18" s="4" t="s">
        <v>2715</v>
      </c>
      <c r="B18" s="4" t="s">
        <v>2698</v>
      </c>
      <c r="C18" s="4" t="s">
        <v>1712</v>
      </c>
      <c r="D18" s="4" t="n">
        <v>22</v>
      </c>
      <c r="E18" s="4" t="n">
        <v>0.1</v>
      </c>
      <c r="F18" s="4" t="s">
        <v>55</v>
      </c>
      <c r="G18" s="4" t="n">
        <v>6</v>
      </c>
      <c r="H18" s="4"/>
      <c r="I18" s="4" t="n">
        <v>0</v>
      </c>
      <c r="J18" s="4"/>
      <c r="K18" s="4" t="n">
        <v>0</v>
      </c>
      <c r="L18" s="24" t="n">
        <f aca="false">D18*(1+0.75*(IFERROR(G18*INDEX(Calculator!$E$6:$E$23,MATCH(F18,Calculator!$A$6:$A$23,0)),0)+IFERROR(I18*INDEX(Calculator!$E$6:$E$23,MATCH(H18,Calculator!$A$6:$A$23,0)),0)+IFERROR(K18*INDEX(Calculator!$E$6:$E$23,MATCH(J18,Calculator!$A$6:$A$23,0)),0))*(1+Constants!$B$23*Calculator!$C$27)/1000)*(1+Calculator!$C$45+Calculator!$C$37)*Calculator!$C$39*(1-(1-MIN(Calculator!$C$44,MIN(1,E18+Calculator!$E$6/10*Constants!$B$16+Calculator!$C$36+Calculator!$C$40+Constants!$B$24*Calculator!$C$27)))*Constants!$B$6)</f>
        <v>32.7200227332</v>
      </c>
    </row>
    <row r="19" customFormat="false" ht="15" hidden="false" customHeight="false" outlineLevel="0" collapsed="false">
      <c r="A19" s="4" t="s">
        <v>2716</v>
      </c>
      <c r="B19" s="4" t="s">
        <v>2706</v>
      </c>
      <c r="C19" s="4" t="s">
        <v>2701</v>
      </c>
      <c r="D19" s="4" t="n">
        <v>24</v>
      </c>
      <c r="E19" s="4" t="n">
        <v>0.1</v>
      </c>
      <c r="F19" s="4" t="s">
        <v>53</v>
      </c>
      <c r="G19" s="4" t="n">
        <v>8</v>
      </c>
      <c r="H19" s="4"/>
      <c r="I19" s="4" t="n">
        <v>0</v>
      </c>
      <c r="J19" s="4"/>
      <c r="K19" s="4" t="n">
        <v>0</v>
      </c>
      <c r="L19" s="24" t="n">
        <f aca="false">D19*(1+0.75*(IFERROR(G19*INDEX(Calculator!$E$6:$E$23,MATCH(F19,Calculator!$A$6:$A$23,0)),0)+IFERROR(I19*INDEX(Calculator!$E$6:$E$23,MATCH(H19,Calculator!$A$6:$A$23,0)),0)+IFERROR(K19*INDEX(Calculator!$E$6:$E$23,MATCH(J19,Calculator!$A$6:$A$23,0)),0))*(1+Constants!$B$23*Calculator!$C$27)/1000)*(1+Calculator!$C$45+Calculator!$C$37)*Calculator!$C$39*(1-(1-MIN(Calculator!$C$44,MIN(1,E19+Calculator!$E$6/10*Constants!$B$16+Calculator!$C$36+Calculator!$C$40+Constants!$B$24*Calculator!$C$27)))*Constants!$B$6)</f>
        <v>23.45796</v>
      </c>
    </row>
    <row r="20" customFormat="false" ht="15" hidden="false" customHeight="false" outlineLevel="0" collapsed="false">
      <c r="A20" s="4" t="s">
        <v>2717</v>
      </c>
      <c r="B20" s="4" t="s">
        <v>2718</v>
      </c>
      <c r="C20" s="4" t="s">
        <v>2719</v>
      </c>
      <c r="D20" s="4" t="n">
        <v>17.5</v>
      </c>
      <c r="E20" s="4" t="n">
        <v>0.05</v>
      </c>
      <c r="F20" s="4" t="s">
        <v>57</v>
      </c>
      <c r="G20" s="4" t="n">
        <v>7</v>
      </c>
      <c r="H20" s="4"/>
      <c r="I20" s="4" t="n">
        <v>0</v>
      </c>
      <c r="J20" s="4"/>
      <c r="K20" s="4" t="n">
        <v>0</v>
      </c>
      <c r="L20" s="24" t="n">
        <f aca="false">D20*(1+0.75*(IFERROR(G20*INDEX(Calculator!$E$6:$E$23,MATCH(F20,Calculator!$A$6:$A$23,0)),0)+IFERROR(I20*INDEX(Calculator!$E$6:$E$23,MATCH(H20,Calculator!$A$6:$A$23,0)),0)+IFERROR(K20*INDEX(Calculator!$E$6:$E$23,MATCH(J20,Calculator!$A$6:$A$23,0)),0))*(1+Constants!$B$23*Calculator!$C$27)/1000)*(1+Calculator!$C$45+Calculator!$C$37)*Calculator!$C$39*(1-(1-MIN(Calculator!$C$44,MIN(1,E20+Calculator!$E$6/10*Constants!$B$16+Calculator!$C$36+Calculator!$C$40+Constants!$B$24*Calculator!$C$27)))*Constants!$B$6)</f>
        <v>16.770075</v>
      </c>
    </row>
    <row r="21" customFormat="false" ht="15" hidden="false" customHeight="false" outlineLevel="0" collapsed="false">
      <c r="A21" s="4" t="s">
        <v>2720</v>
      </c>
      <c r="B21" s="4" t="s">
        <v>2690</v>
      </c>
      <c r="C21" s="4" t="s">
        <v>2721</v>
      </c>
      <c r="D21" s="4" t="n">
        <v>19</v>
      </c>
      <c r="E21" s="4" t="n">
        <v>0.25</v>
      </c>
      <c r="F21" s="4" t="s">
        <v>55</v>
      </c>
      <c r="G21" s="4" t="n">
        <v>7</v>
      </c>
      <c r="H21" s="4"/>
      <c r="I21" s="4" t="n">
        <v>0</v>
      </c>
      <c r="J21" s="4"/>
      <c r="K21" s="4" t="n">
        <v>0</v>
      </c>
      <c r="L21" s="24" t="n">
        <f aca="false">D21*(1+0.75*(IFERROR(G21*INDEX(Calculator!$E$6:$E$23,MATCH(F21,Calculator!$A$6:$A$23,0)),0)+IFERROR(I21*INDEX(Calculator!$E$6:$E$23,MATCH(H21,Calculator!$A$6:$A$23,0)),0)+IFERROR(K21*INDEX(Calculator!$E$6:$E$23,MATCH(J21,Calculator!$A$6:$A$23,0)),0))*(1+Constants!$B$23*Calculator!$C$27)/1000)*(1+Calculator!$C$45+Calculator!$C$37)*Calculator!$C$39*(1-(1-MIN(Calculator!$C$44,MIN(1,E21+Calculator!$E$6/10*Constants!$B$16+Calculator!$C$36+Calculator!$C$40+Constants!$B$24*Calculator!$C$27)))*Constants!$B$6)</f>
        <v>31.6263074658</v>
      </c>
    </row>
    <row r="22" customFormat="false" ht="15" hidden="false" customHeight="false" outlineLevel="0" collapsed="false">
      <c r="A22" s="4" t="s">
        <v>2722</v>
      </c>
      <c r="B22" s="4" t="s">
        <v>2698</v>
      </c>
      <c r="C22" s="4" t="s">
        <v>1712</v>
      </c>
      <c r="D22" s="4" t="n">
        <v>20</v>
      </c>
      <c r="E22" s="4" t="n">
        <v>0.2</v>
      </c>
      <c r="F22" s="4" t="s">
        <v>55</v>
      </c>
      <c r="G22" s="4" t="n">
        <v>7.5</v>
      </c>
      <c r="H22" s="4"/>
      <c r="I22" s="4" t="n">
        <v>0</v>
      </c>
      <c r="J22" s="4"/>
      <c r="K22" s="4" t="n">
        <v>0</v>
      </c>
      <c r="L22" s="24" t="n">
        <f aca="false">D22*(1+0.75*(IFERROR(G22*INDEX(Calculator!$E$6:$E$23,MATCH(F22,Calculator!$A$6:$A$23,0)),0)+IFERROR(I22*INDEX(Calculator!$E$6:$E$23,MATCH(H22,Calculator!$A$6:$A$23,0)),0)+IFERROR(K22*INDEX(Calculator!$E$6:$E$23,MATCH(J22,Calculator!$A$6:$A$23,0)),0))*(1+Constants!$B$23*Calculator!$C$27)/1000)*(1+Calculator!$C$45+Calculator!$C$37)*Calculator!$C$39*(1-(1-MIN(Calculator!$C$44,MIN(1,E22+Calculator!$E$6/10*Constants!$B$16+Calculator!$C$36+Calculator!$C$40+Constants!$B$24*Calculator!$C$27)))*Constants!$B$6)</f>
        <v>33.558587265</v>
      </c>
    </row>
    <row r="23" customFormat="false" ht="15" hidden="false" customHeight="false" outlineLevel="0" collapsed="false">
      <c r="A23" s="4" t="s">
        <v>2723</v>
      </c>
      <c r="B23" s="4" t="s">
        <v>2718</v>
      </c>
      <c r="C23" s="4" t="s">
        <v>1618</v>
      </c>
      <c r="D23" s="4" t="n">
        <v>16</v>
      </c>
      <c r="E23" s="4" t="n">
        <v>0.1</v>
      </c>
      <c r="F23" s="4" t="s">
        <v>57</v>
      </c>
      <c r="G23" s="4" t="n">
        <v>8</v>
      </c>
      <c r="H23" s="4"/>
      <c r="I23" s="4" t="n">
        <v>0</v>
      </c>
      <c r="J23" s="4"/>
      <c r="K23" s="4" t="n">
        <v>0</v>
      </c>
      <c r="L23" s="24" t="n">
        <f aca="false">D23*(1+0.75*(IFERROR(G23*INDEX(Calculator!$E$6:$E$23,MATCH(F23,Calculator!$A$6:$A$23,0)),0)+IFERROR(I23*INDEX(Calculator!$E$6:$E$23,MATCH(H23,Calculator!$A$6:$A$23,0)),0)+IFERROR(K23*INDEX(Calculator!$E$6:$E$23,MATCH(J23,Calculator!$A$6:$A$23,0)),0))*(1+Constants!$B$23*Calculator!$C$27)/1000)*(1+Calculator!$C$45+Calculator!$C$37)*Calculator!$C$39*(1-(1-MIN(Calculator!$C$44,MIN(1,E23+Calculator!$E$6/10*Constants!$B$16+Calculator!$C$36+Calculator!$C$40+Constants!$B$24*Calculator!$C$27)))*Constants!$B$6)</f>
        <v>15.63864</v>
      </c>
    </row>
    <row r="24" customFormat="false" ht="15" hidden="false" customHeight="false" outlineLevel="0" collapsed="false">
      <c r="A24" s="4" t="s">
        <v>2724</v>
      </c>
      <c r="B24" s="4" t="s">
        <v>2700</v>
      </c>
      <c r="C24" s="4" t="s">
        <v>2701</v>
      </c>
      <c r="D24" s="4" t="n">
        <v>23</v>
      </c>
      <c r="E24" s="4" t="n">
        <v>0.1</v>
      </c>
      <c r="F24" s="4" t="s">
        <v>53</v>
      </c>
      <c r="G24" s="4" t="n">
        <v>10</v>
      </c>
      <c r="H24" s="4"/>
      <c r="I24" s="4" t="n">
        <v>0</v>
      </c>
      <c r="J24" s="4"/>
      <c r="K24" s="4" t="n">
        <v>0</v>
      </c>
      <c r="L24" s="24" t="n">
        <f aca="false">D24*(1+0.75*(IFERROR(G24*INDEX(Calculator!$E$6:$E$23,MATCH(F24,Calculator!$A$6:$A$23,0)),0)+IFERROR(I24*INDEX(Calculator!$E$6:$E$23,MATCH(H24,Calculator!$A$6:$A$23,0)),0)+IFERROR(K24*INDEX(Calculator!$E$6:$E$23,MATCH(J24,Calculator!$A$6:$A$23,0)),0))*(1+Constants!$B$23*Calculator!$C$27)/1000)*(1+Calculator!$C$45+Calculator!$C$37)*Calculator!$C$39*(1-(1-MIN(Calculator!$C$44,MIN(1,E24+Calculator!$E$6/10*Constants!$B$16+Calculator!$C$36+Calculator!$C$40+Constants!$B$24*Calculator!$C$27)))*Constants!$B$6)</f>
        <v>22.480545</v>
      </c>
    </row>
    <row r="25" customFormat="false" ht="15" hidden="false" customHeight="false" outlineLevel="0" collapsed="false">
      <c r="A25" s="4" t="s">
        <v>2725</v>
      </c>
      <c r="B25" s="4" t="s">
        <v>2726</v>
      </c>
      <c r="C25" s="4" t="s">
        <v>2727</v>
      </c>
      <c r="D25" s="4" t="n">
        <v>13.5</v>
      </c>
      <c r="E25" s="4" t="n">
        <v>0.15</v>
      </c>
      <c r="F25" s="4" t="s">
        <v>57</v>
      </c>
      <c r="G25" s="4" t="n">
        <v>9</v>
      </c>
      <c r="H25" s="4"/>
      <c r="I25" s="4" t="n">
        <v>0</v>
      </c>
      <c r="J25" s="4"/>
      <c r="K25" s="4" t="n">
        <v>0</v>
      </c>
      <c r="L25" s="24" t="n">
        <f aca="false">D25*(1+0.75*(IFERROR(G25*INDEX(Calculator!$E$6:$E$23,MATCH(F25,Calculator!$A$6:$A$23,0)),0)+IFERROR(I25*INDEX(Calculator!$E$6:$E$23,MATCH(H25,Calculator!$A$6:$A$23,0)),0)+IFERROR(K25*INDEX(Calculator!$E$6:$E$23,MATCH(J25,Calculator!$A$6:$A$23,0)),0))*(1+Constants!$B$23*Calculator!$C$27)/1000)*(1+Calculator!$C$45+Calculator!$C$37)*Calculator!$C$39*(1-(1-MIN(Calculator!$C$44,MIN(1,E25+Calculator!$E$6/10*Constants!$B$16+Calculator!$C$36+Calculator!$C$40+Constants!$B$24*Calculator!$C$27)))*Constants!$B$6)</f>
        <v>13.45329</v>
      </c>
    </row>
    <row r="26" customFormat="false" ht="15" hidden="false" customHeight="false" outlineLevel="0" collapsed="false">
      <c r="A26" s="4" t="s">
        <v>2728</v>
      </c>
      <c r="B26" s="4" t="s">
        <v>2729</v>
      </c>
      <c r="C26" s="4" t="s">
        <v>1203</v>
      </c>
      <c r="D26" s="4" t="n">
        <v>13</v>
      </c>
      <c r="E26" s="4" t="n">
        <v>0</v>
      </c>
      <c r="F26" s="4" t="s">
        <v>57</v>
      </c>
      <c r="G26" s="4" t="n">
        <v>6.5</v>
      </c>
      <c r="H26" s="4"/>
      <c r="I26" s="4" t="n">
        <v>0</v>
      </c>
      <c r="J26" s="4"/>
      <c r="K26" s="4" t="n">
        <v>0</v>
      </c>
      <c r="L26" s="24" t="n">
        <f aca="false">D26*(1+0.75*(IFERROR(G26*INDEX(Calculator!$E$6:$E$23,MATCH(F26,Calculator!$A$6:$A$23,0)),0)+IFERROR(I26*INDEX(Calculator!$E$6:$E$23,MATCH(H26,Calculator!$A$6:$A$23,0)),0)+IFERROR(K26*INDEX(Calculator!$E$6:$E$23,MATCH(J26,Calculator!$A$6:$A$23,0)),0))*(1+Constants!$B$23*Calculator!$C$27)/1000)*(1+Calculator!$C$45+Calculator!$C$37)*Calculator!$C$39*(1-(1-MIN(Calculator!$C$44,MIN(1,E26+Calculator!$E$6/10*Constants!$B$16+Calculator!$C$36+Calculator!$C$40+Constants!$B$24*Calculator!$C$27)))*Constants!$B$6)</f>
        <v>12.209145</v>
      </c>
    </row>
    <row r="27" customFormat="false" ht="15" hidden="false" customHeight="false" outlineLevel="0" collapsed="false">
      <c r="A27" s="4" t="s">
        <v>2730</v>
      </c>
      <c r="B27" s="4" t="s">
        <v>2700</v>
      </c>
      <c r="C27" s="4" t="s">
        <v>585</v>
      </c>
      <c r="D27" s="4" t="n">
        <v>21</v>
      </c>
      <c r="E27" s="4" t="n">
        <v>0</v>
      </c>
      <c r="F27" s="4" t="s">
        <v>53</v>
      </c>
      <c r="G27" s="4" t="n">
        <v>6.5</v>
      </c>
      <c r="H27" s="4"/>
      <c r="I27" s="4" t="n">
        <v>0</v>
      </c>
      <c r="J27" s="4"/>
      <c r="K27" s="4" t="n">
        <v>0</v>
      </c>
      <c r="L27" s="24" t="n">
        <f aca="false">D27*(1+0.75*(IFERROR(G27*INDEX(Calculator!$E$6:$E$23,MATCH(F27,Calculator!$A$6:$A$23,0)),0)+IFERROR(I27*INDEX(Calculator!$E$6:$E$23,MATCH(H27,Calculator!$A$6:$A$23,0)),0)+IFERROR(K27*INDEX(Calculator!$E$6:$E$23,MATCH(J27,Calculator!$A$6:$A$23,0)),0))*(1+Constants!$B$23*Calculator!$C$27)/1000)*(1+Calculator!$C$45+Calculator!$C$37)*Calculator!$C$39*(1-(1-MIN(Calculator!$C$44,MIN(1,E27+Calculator!$E$6/10*Constants!$B$16+Calculator!$C$36+Calculator!$C$40+Constants!$B$24*Calculator!$C$27)))*Constants!$B$6)</f>
        <v>19.722465</v>
      </c>
    </row>
    <row r="28" customFormat="false" ht="15" hidden="false" customHeight="false" outlineLevel="0" collapsed="false">
      <c r="A28" s="4" t="s">
        <v>2731</v>
      </c>
      <c r="B28" s="4" t="s">
        <v>2693</v>
      </c>
      <c r="C28" s="4" t="s">
        <v>585</v>
      </c>
      <c r="D28" s="4" t="n">
        <v>20</v>
      </c>
      <c r="E28" s="4" t="n">
        <v>0</v>
      </c>
      <c r="F28" s="4" t="s">
        <v>53</v>
      </c>
      <c r="G28" s="4" t="n">
        <v>5</v>
      </c>
      <c r="H28" s="4"/>
      <c r="I28" s="4" t="n">
        <v>0</v>
      </c>
      <c r="J28" s="4"/>
      <c r="K28" s="4" t="n">
        <v>0</v>
      </c>
      <c r="L28" s="24" t="n">
        <f aca="false">D28*(1+0.75*(IFERROR(G28*INDEX(Calculator!$E$6:$E$23,MATCH(F28,Calculator!$A$6:$A$23,0)),0)+IFERROR(I28*INDEX(Calculator!$E$6:$E$23,MATCH(H28,Calculator!$A$6:$A$23,0)),0)+IFERROR(K28*INDEX(Calculator!$E$6:$E$23,MATCH(J28,Calculator!$A$6:$A$23,0)),0))*(1+Constants!$B$23*Calculator!$C$27)/1000)*(1+Calculator!$C$45+Calculator!$C$37)*Calculator!$C$39*(1-(1-MIN(Calculator!$C$44,MIN(1,E28+Calculator!$E$6/10*Constants!$B$16+Calculator!$C$36+Calculator!$C$40+Constants!$B$24*Calculator!$C$27)))*Constants!$B$6)</f>
        <v>18.7833</v>
      </c>
    </row>
    <row r="29" customFormat="false" ht="15" hidden="false" customHeight="false" outlineLevel="0" collapsed="false">
      <c r="A29" s="4" t="s">
        <v>2732</v>
      </c>
      <c r="B29" s="4" t="s">
        <v>1190</v>
      </c>
      <c r="C29" s="4" t="s">
        <v>2714</v>
      </c>
      <c r="D29" s="4" t="n">
        <v>21</v>
      </c>
      <c r="E29" s="4" t="n">
        <v>0.2</v>
      </c>
      <c r="F29" s="4" t="s">
        <v>55</v>
      </c>
      <c r="G29" s="4" t="n">
        <v>5.3</v>
      </c>
      <c r="H29" s="4"/>
      <c r="I29" s="4" t="n">
        <v>0</v>
      </c>
      <c r="J29" s="4"/>
      <c r="K29" s="4" t="n">
        <v>0</v>
      </c>
      <c r="L29" s="24" t="n">
        <f aca="false">D29*(1+0.75*(IFERROR(G29*INDEX(Calculator!$E$6:$E$23,MATCH(F29,Calculator!$A$6:$A$23,0)),0)+IFERROR(I29*INDEX(Calculator!$E$6:$E$23,MATCH(H29,Calculator!$A$6:$A$23,0)),0)+IFERROR(K29*INDEX(Calculator!$E$6:$E$23,MATCH(J29,Calculator!$A$6:$A$23,0)),0))*(1+Constants!$B$23*Calculator!$C$27)/1000)*(1+Calculator!$C$45+Calculator!$C$37)*Calculator!$C$39*(1-(1-MIN(Calculator!$C$44,MIN(1,E29+Calculator!$E$6/10*Constants!$B$16+Calculator!$C$36+Calculator!$C$40+Constants!$B$24*Calculator!$C$27)))*Constants!$B$6)</f>
        <v>31.15696815063</v>
      </c>
    </row>
    <row r="30" customFormat="false" ht="15" hidden="false" customHeight="false" outlineLevel="0" collapsed="false">
      <c r="A30" s="4" t="s">
        <v>2733</v>
      </c>
      <c r="B30" s="4" t="s">
        <v>2718</v>
      </c>
      <c r="C30" s="4" t="s">
        <v>2719</v>
      </c>
      <c r="D30" s="4" t="n">
        <v>15</v>
      </c>
      <c r="E30" s="4" t="n">
        <v>0.15</v>
      </c>
      <c r="F30" s="4" t="s">
        <v>57</v>
      </c>
      <c r="G30" s="4" t="n">
        <v>8</v>
      </c>
      <c r="H30" s="4"/>
      <c r="I30" s="4" t="n">
        <v>0</v>
      </c>
      <c r="J30" s="4"/>
      <c r="K30" s="4" t="n">
        <v>0</v>
      </c>
      <c r="L30" s="24" t="n">
        <f aca="false">D30*(1+0.75*(IFERROR(G30*INDEX(Calculator!$E$6:$E$23,MATCH(F30,Calculator!$A$6:$A$23,0)),0)+IFERROR(I30*INDEX(Calculator!$E$6:$E$23,MATCH(H30,Calculator!$A$6:$A$23,0)),0)+IFERROR(K30*INDEX(Calculator!$E$6:$E$23,MATCH(J30,Calculator!$A$6:$A$23,0)),0))*(1+Constants!$B$23*Calculator!$C$27)/1000)*(1+Calculator!$C$45+Calculator!$C$37)*Calculator!$C$39*(1-(1-MIN(Calculator!$C$44,MIN(1,E30+Calculator!$E$6/10*Constants!$B$16+Calculator!$C$36+Calculator!$C$40+Constants!$B$24*Calculator!$C$27)))*Constants!$B$6)</f>
        <v>14.9481</v>
      </c>
    </row>
    <row r="31" customFormat="false" ht="15" hidden="false" customHeight="false" outlineLevel="0" collapsed="false">
      <c r="A31" s="4" t="s">
        <v>2734</v>
      </c>
      <c r="B31" s="4" t="s">
        <v>2690</v>
      </c>
      <c r="C31" s="4" t="s">
        <v>2735</v>
      </c>
      <c r="D31" s="4" t="n">
        <v>16.5</v>
      </c>
      <c r="E31" s="4" t="n">
        <v>0.15</v>
      </c>
      <c r="F31" s="4" t="s">
        <v>55</v>
      </c>
      <c r="G31" s="4" t="n">
        <v>2.5</v>
      </c>
      <c r="H31" s="4" t="s">
        <v>73</v>
      </c>
      <c r="I31" s="4" t="n">
        <v>2</v>
      </c>
      <c r="J31" s="4" t="s">
        <v>67</v>
      </c>
      <c r="K31" s="4" t="n">
        <v>3</v>
      </c>
      <c r="L31" s="24" t="n">
        <f aca="false">D31*(1+0.75*(IFERROR(G31*INDEX(Calculator!$E$6:$E$23,MATCH(F31,Calculator!$A$6:$A$23,0)),0)+IFERROR(I31*INDEX(Calculator!$E$6:$E$23,MATCH(H31,Calculator!$A$6:$A$23,0)),0)+IFERROR(K31*INDEX(Calculator!$E$6:$E$23,MATCH(J31,Calculator!$A$6:$A$23,0)),0))*(1+Constants!$B$23*Calculator!$C$27)/1000)*(1+Calculator!$C$45+Calculator!$C$37)*Calculator!$C$39*(1-(1-MIN(Calculator!$C$44,MIN(1,E31+Calculator!$E$6/10*Constants!$B$16+Calculator!$C$36+Calculator!$C$40+Constants!$B$24*Calculator!$C$27)))*Constants!$B$6)</f>
        <v>20.793703986</v>
      </c>
    </row>
    <row r="32" customFormat="false" ht="15" hidden="false" customHeight="false" outlineLevel="0" collapsed="false">
      <c r="A32" s="4" t="s">
        <v>2736</v>
      </c>
      <c r="B32" s="4" t="s">
        <v>2700</v>
      </c>
      <c r="C32" s="4" t="s">
        <v>2737</v>
      </c>
      <c r="D32" s="4" t="n">
        <v>23</v>
      </c>
      <c r="E32" s="4" t="n">
        <v>0</v>
      </c>
      <c r="F32" s="4" t="s">
        <v>53</v>
      </c>
      <c r="G32" s="4" t="n">
        <v>7</v>
      </c>
      <c r="H32" s="4"/>
      <c r="I32" s="4" t="n">
        <v>0</v>
      </c>
      <c r="J32" s="4"/>
      <c r="K32" s="4" t="n">
        <v>0</v>
      </c>
      <c r="L32" s="24" t="n">
        <f aca="false">D32*(1+0.75*(IFERROR(G32*INDEX(Calculator!$E$6:$E$23,MATCH(F32,Calculator!$A$6:$A$23,0)),0)+IFERROR(I32*INDEX(Calculator!$E$6:$E$23,MATCH(H32,Calculator!$A$6:$A$23,0)),0)+IFERROR(K32*INDEX(Calculator!$E$6:$E$23,MATCH(J32,Calculator!$A$6:$A$23,0)),0))*(1+Constants!$B$23*Calculator!$C$27)/1000)*(1+Calculator!$C$45+Calculator!$C$37)*Calculator!$C$39*(1-(1-MIN(Calculator!$C$44,MIN(1,E32+Calculator!$E$6/10*Constants!$B$16+Calculator!$C$36+Calculator!$C$40+Constants!$B$24*Calculator!$C$27)))*Constants!$B$6)</f>
        <v>21.600795</v>
      </c>
    </row>
    <row r="33" customFormat="false" ht="15" hidden="false" customHeight="false" outlineLevel="0" collapsed="false">
      <c r="A33" s="4" t="s">
        <v>2738</v>
      </c>
      <c r="B33" s="4" t="s">
        <v>2700</v>
      </c>
      <c r="C33" s="4" t="s">
        <v>2739</v>
      </c>
      <c r="D33" s="4" t="n">
        <v>19</v>
      </c>
      <c r="E33" s="4" t="n">
        <v>0.2</v>
      </c>
      <c r="F33" s="4" t="s">
        <v>53</v>
      </c>
      <c r="G33" s="4" t="n">
        <v>5</v>
      </c>
      <c r="H33" s="4" t="s">
        <v>71</v>
      </c>
      <c r="I33" s="4" t="n">
        <v>4</v>
      </c>
      <c r="J33" s="4"/>
      <c r="K33" s="4" t="n">
        <v>0</v>
      </c>
      <c r="L33" s="24" t="n">
        <f aca="false">D33*(1+0.75*(IFERROR(G33*INDEX(Calculator!$E$6:$E$23,MATCH(F33,Calculator!$A$6:$A$23,0)),0)+IFERROR(I33*INDEX(Calculator!$E$6:$E$23,MATCH(H33,Calculator!$A$6:$A$23,0)),0)+IFERROR(K33*INDEX(Calculator!$E$6:$E$23,MATCH(J33,Calculator!$A$6:$A$23,0)),0))*(1+Constants!$B$23*Calculator!$C$27)/1000)*(1+Calculator!$C$45+Calculator!$C$37)*Calculator!$C$39*(1-(1-MIN(Calculator!$C$44,MIN(1,E33+Calculator!$E$6/10*Constants!$B$16+Calculator!$C$36+Calculator!$C$40+Constants!$B$24*Calculator!$C$27)))*Constants!$B$6)</f>
        <v>19.297635</v>
      </c>
    </row>
    <row r="34" customFormat="false" ht="15" hidden="false" customHeight="false" outlineLevel="0" collapsed="false">
      <c r="A34" s="4" t="s">
        <v>2740</v>
      </c>
      <c r="B34" s="4" t="s">
        <v>2690</v>
      </c>
      <c r="C34" s="4" t="s">
        <v>1712</v>
      </c>
      <c r="D34" s="4" t="n">
        <v>18</v>
      </c>
      <c r="E34" s="4" t="n">
        <v>0.25</v>
      </c>
      <c r="F34" s="4" t="s">
        <v>55</v>
      </c>
      <c r="G34" s="4" t="n">
        <v>6</v>
      </c>
      <c r="H34" s="4"/>
      <c r="I34" s="4" t="n">
        <v>0</v>
      </c>
      <c r="J34" s="4"/>
      <c r="K34" s="4" t="n">
        <v>0</v>
      </c>
      <c r="L34" s="24" t="n">
        <f aca="false">D34*(1+0.75*(IFERROR(G34*INDEX(Calculator!$E$6:$E$23,MATCH(F34,Calculator!$A$6:$A$23,0)),0)+IFERROR(I34*INDEX(Calculator!$E$6:$E$23,MATCH(H34,Calculator!$A$6:$A$23,0)),0)+IFERROR(K34*INDEX(Calculator!$E$6:$E$23,MATCH(J34,Calculator!$A$6:$A$23,0)),0))*(1+Constants!$B$23*Calculator!$C$27)/1000)*(1+Calculator!$C$45+Calculator!$C$37)*Calculator!$C$39*(1-(1-MIN(Calculator!$C$44,MIN(1,E34+Calculator!$E$6/10*Constants!$B$16+Calculator!$C$36+Calculator!$C$40+Constants!$B$24*Calculator!$C$27)))*Constants!$B$6)</f>
        <v>28.3424014008</v>
      </c>
    </row>
    <row r="35" customFormat="false" ht="15" hidden="false" customHeight="false" outlineLevel="0" collapsed="false">
      <c r="A35" s="4" t="s">
        <v>2741</v>
      </c>
      <c r="B35" s="4" t="s">
        <v>2706</v>
      </c>
      <c r="C35" s="4" t="s">
        <v>2742</v>
      </c>
      <c r="D35" s="4" t="n">
        <v>23</v>
      </c>
      <c r="E35" s="4" t="n">
        <v>0.2</v>
      </c>
      <c r="F35" s="4" t="s">
        <v>53</v>
      </c>
      <c r="G35" s="4" t="n">
        <v>4.2</v>
      </c>
      <c r="H35" s="4" t="s">
        <v>63</v>
      </c>
      <c r="I35" s="4" t="n">
        <v>7</v>
      </c>
      <c r="J35" s="4"/>
      <c r="K35" s="4" t="n">
        <v>0</v>
      </c>
      <c r="L35" s="24" t="n">
        <f aca="false">D35*(1+0.75*(IFERROR(G35*INDEX(Calculator!$E$6:$E$23,MATCH(F35,Calculator!$A$6:$A$23,0)),0)+IFERROR(I35*INDEX(Calculator!$E$6:$E$23,MATCH(H35,Calculator!$A$6:$A$23,0)),0)+IFERROR(K35*INDEX(Calculator!$E$6:$E$23,MATCH(J35,Calculator!$A$6:$A$23,0)),0))*(1+Constants!$B$23*Calculator!$C$27)/1000)*(1+Calculator!$C$45+Calculator!$C$37)*Calculator!$C$39*(1-(1-MIN(Calculator!$C$44,MIN(1,E35+Calculator!$E$6/10*Constants!$B$16+Calculator!$C$36+Calculator!$C$40+Constants!$B$24*Calculator!$C$27)))*Constants!$B$6)</f>
        <v>26.75991873135</v>
      </c>
    </row>
    <row r="36" customFormat="false" ht="15" hidden="false" customHeight="false" outlineLevel="0" collapsed="false">
      <c r="A36" s="4" t="s">
        <v>2743</v>
      </c>
      <c r="B36" s="4" t="s">
        <v>2726</v>
      </c>
      <c r="C36" s="4" t="s">
        <v>2744</v>
      </c>
      <c r="D36" s="4" t="n">
        <v>15.5</v>
      </c>
      <c r="E36" s="4" t="n">
        <v>0.2</v>
      </c>
      <c r="F36" s="4" t="s">
        <v>57</v>
      </c>
      <c r="G36" s="4" t="n">
        <v>9</v>
      </c>
      <c r="H36" s="4"/>
      <c r="I36" s="4" t="n">
        <v>0</v>
      </c>
      <c r="J36" s="4"/>
      <c r="K36" s="4" t="n">
        <v>0</v>
      </c>
      <c r="L36" s="24" t="n">
        <f aca="false">D36*(1+0.75*(IFERROR(G36*INDEX(Calculator!$E$6:$E$23,MATCH(F36,Calculator!$A$6:$A$23,0)),0)+IFERROR(I36*INDEX(Calculator!$E$6:$E$23,MATCH(H36,Calculator!$A$6:$A$23,0)),0)+IFERROR(K36*INDEX(Calculator!$E$6:$E$23,MATCH(J36,Calculator!$A$6:$A$23,0)),0))*(1+Constants!$B$23*Calculator!$C$27)/1000)*(1+Calculator!$C$45+Calculator!$C$37)*Calculator!$C$39*(1-(1-MIN(Calculator!$C$44,MIN(1,E36+Calculator!$E$6/10*Constants!$B$16+Calculator!$C$36+Calculator!$C$40+Constants!$B$24*Calculator!$C$27)))*Constants!$B$6)</f>
        <v>15.7428075</v>
      </c>
    </row>
    <row r="37" customFormat="false" ht="15" hidden="false" customHeight="false" outlineLevel="0" collapsed="false">
      <c r="A37" s="4" t="s">
        <v>2745</v>
      </c>
      <c r="B37" s="4" t="s">
        <v>2700</v>
      </c>
      <c r="C37" s="4" t="s">
        <v>2746</v>
      </c>
      <c r="D37" s="4" t="n">
        <v>22</v>
      </c>
      <c r="E37" s="4" t="n">
        <v>0</v>
      </c>
      <c r="F37" s="4" t="s">
        <v>53</v>
      </c>
      <c r="G37" s="4" t="n">
        <v>4</v>
      </c>
      <c r="H37" s="4" t="s">
        <v>67</v>
      </c>
      <c r="I37" s="4" t="n">
        <v>9</v>
      </c>
      <c r="J37" s="4"/>
      <c r="K37" s="4" t="n">
        <v>0</v>
      </c>
      <c r="L37" s="24" t="n">
        <f aca="false">D37*(1+0.75*(IFERROR(G37*INDEX(Calculator!$E$6:$E$23,MATCH(F37,Calculator!$A$6:$A$23,0)),0)+IFERROR(I37*INDEX(Calculator!$E$6:$E$23,MATCH(H37,Calculator!$A$6:$A$23,0)),0)+IFERROR(K37*INDEX(Calculator!$E$6:$E$23,MATCH(J37,Calculator!$A$6:$A$23,0)),0))*(1+Constants!$B$23*Calculator!$C$27)/1000)*(1+Calculator!$C$45+Calculator!$C$37)*Calculator!$C$39*(1-(1-MIN(Calculator!$C$44,MIN(1,E37+Calculator!$E$6/10*Constants!$B$16+Calculator!$C$36+Calculator!$C$40+Constants!$B$24*Calculator!$C$27)))*Constants!$B$6)</f>
        <v>20.66163</v>
      </c>
    </row>
    <row r="38" customFormat="false" ht="15" hidden="false" customHeight="false" outlineLevel="0" collapsed="false">
      <c r="A38" s="4" t="s">
        <v>2747</v>
      </c>
      <c r="B38" s="4" t="s">
        <v>2718</v>
      </c>
      <c r="C38" s="4" t="s">
        <v>1269</v>
      </c>
      <c r="D38" s="4" t="n">
        <v>11</v>
      </c>
      <c r="E38" s="4" t="n">
        <v>0.05</v>
      </c>
      <c r="F38" s="4" t="s">
        <v>57</v>
      </c>
      <c r="G38" s="4" t="n">
        <v>10</v>
      </c>
      <c r="H38" s="4"/>
      <c r="I38" s="4" t="n">
        <v>0</v>
      </c>
      <c r="J38" s="4"/>
      <c r="K38" s="4" t="n">
        <v>0</v>
      </c>
      <c r="L38" s="24" t="n">
        <f aca="false">D38*(1+0.75*(IFERROR(G38*INDEX(Calculator!$E$6:$E$23,MATCH(F38,Calculator!$A$6:$A$23,0)),0)+IFERROR(I38*INDEX(Calculator!$E$6:$E$23,MATCH(H38,Calculator!$A$6:$A$23,0)),0)+IFERROR(K38*INDEX(Calculator!$E$6:$E$23,MATCH(J38,Calculator!$A$6:$A$23,0)),0))*(1+Constants!$B$23*Calculator!$C$27)/1000)*(1+Calculator!$C$45+Calculator!$C$37)*Calculator!$C$39*(1-(1-MIN(Calculator!$C$44,MIN(1,E38+Calculator!$E$6/10*Constants!$B$16+Calculator!$C$36+Calculator!$C$40+Constants!$B$24*Calculator!$C$27)))*Constants!$B$6)</f>
        <v>10.54119</v>
      </c>
    </row>
    <row r="39" customFormat="false" ht="15" hidden="false" customHeight="false" outlineLevel="0" collapsed="false">
      <c r="A39" s="4" t="s">
        <v>2748</v>
      </c>
      <c r="B39" s="4" t="s">
        <v>2693</v>
      </c>
      <c r="C39" s="4" t="s">
        <v>2694</v>
      </c>
      <c r="D39" s="4" t="n">
        <v>24</v>
      </c>
      <c r="E39" s="4" t="n">
        <v>0</v>
      </c>
      <c r="F39" s="4" t="s">
        <v>53</v>
      </c>
      <c r="G39" s="4" t="n">
        <v>7</v>
      </c>
      <c r="H39" s="4"/>
      <c r="I39" s="4" t="n">
        <v>0</v>
      </c>
      <c r="J39" s="4"/>
      <c r="K39" s="4" t="n">
        <v>0</v>
      </c>
      <c r="L39" s="24" t="n">
        <f aca="false">D39*(1+0.75*(IFERROR(G39*INDEX(Calculator!$E$6:$E$23,MATCH(F39,Calculator!$A$6:$A$23,0)),0)+IFERROR(I39*INDEX(Calculator!$E$6:$E$23,MATCH(H39,Calculator!$A$6:$A$23,0)),0)+IFERROR(K39*INDEX(Calculator!$E$6:$E$23,MATCH(J39,Calculator!$A$6:$A$23,0)),0))*(1+Constants!$B$23*Calculator!$C$27)/1000)*(1+Calculator!$C$45+Calculator!$C$37)*Calculator!$C$39*(1-(1-MIN(Calculator!$C$44,MIN(1,E39+Calculator!$E$6/10*Constants!$B$16+Calculator!$C$36+Calculator!$C$40+Constants!$B$24*Calculator!$C$27)))*Constants!$B$6)</f>
        <v>22.53996</v>
      </c>
    </row>
    <row r="40" customFormat="false" ht="15" hidden="false" customHeight="false" outlineLevel="0" collapsed="false">
      <c r="A40" s="4" t="s">
        <v>2749</v>
      </c>
      <c r="B40" s="4" t="s">
        <v>2698</v>
      </c>
      <c r="C40" s="4" t="s">
        <v>2691</v>
      </c>
      <c r="D40" s="4" t="n">
        <v>21</v>
      </c>
      <c r="E40" s="4" t="n">
        <v>0</v>
      </c>
      <c r="F40" s="4" t="s">
        <v>55</v>
      </c>
      <c r="G40" s="4" t="n">
        <v>5</v>
      </c>
      <c r="H40" s="4"/>
      <c r="I40" s="4" t="n">
        <v>0</v>
      </c>
      <c r="J40" s="4"/>
      <c r="K40" s="4" t="n">
        <v>0</v>
      </c>
      <c r="L40" s="24" t="n">
        <f aca="false">D40*(1+0.75*(IFERROR(G40*INDEX(Calculator!$E$6:$E$23,MATCH(F40,Calculator!$A$6:$A$23,0)),0)+IFERROR(I40*INDEX(Calculator!$E$6:$E$23,MATCH(H40,Calculator!$A$6:$A$23,0)),0)+IFERROR(K40*INDEX(Calculator!$E$6:$E$23,MATCH(J40,Calculator!$A$6:$A$23,0)),0))*(1+Constants!$B$23*Calculator!$C$27)/1000)*(1+Calculator!$C$45+Calculator!$C$37)*Calculator!$C$39*(1-(1-MIN(Calculator!$C$44,MIN(1,E40+Calculator!$E$6/10*Constants!$B$16+Calculator!$C$36+Calculator!$C$40+Constants!$B$24*Calculator!$C$27)))*Constants!$B$6)</f>
        <v>28.2958205355</v>
      </c>
    </row>
    <row r="41" customFormat="false" ht="15" hidden="false" customHeight="false" outlineLevel="0" collapsed="false">
      <c r="A41" s="4" t="s">
        <v>2750</v>
      </c>
      <c r="B41" s="4" t="s">
        <v>2718</v>
      </c>
      <c r="C41" s="4" t="s">
        <v>989</v>
      </c>
      <c r="D41" s="4" t="n">
        <v>16</v>
      </c>
      <c r="E41" s="4" t="n">
        <v>0.05</v>
      </c>
      <c r="F41" s="4" t="s">
        <v>57</v>
      </c>
      <c r="G41" s="4" t="n">
        <v>7</v>
      </c>
      <c r="H41" s="4"/>
      <c r="I41" s="4" t="n">
        <v>0</v>
      </c>
      <c r="J41" s="4"/>
      <c r="K41" s="4" t="n">
        <v>0</v>
      </c>
      <c r="L41" s="24" t="n">
        <f aca="false">D41*(1+0.75*(IFERROR(G41*INDEX(Calculator!$E$6:$E$23,MATCH(F41,Calculator!$A$6:$A$23,0)),0)+IFERROR(I41*INDEX(Calculator!$E$6:$E$23,MATCH(H41,Calculator!$A$6:$A$23,0)),0)+IFERROR(K41*INDEX(Calculator!$E$6:$E$23,MATCH(J41,Calculator!$A$6:$A$23,0)),0))*(1+Constants!$B$23*Calculator!$C$27)/1000)*(1+Calculator!$C$45+Calculator!$C$37)*Calculator!$C$39*(1-(1-MIN(Calculator!$C$44,MIN(1,E41+Calculator!$E$6/10*Constants!$B$16+Calculator!$C$36+Calculator!$C$40+Constants!$B$24*Calculator!$C$27)))*Constants!$B$6)</f>
        <v>15.33264</v>
      </c>
    </row>
    <row r="42" customFormat="false" ht="15" hidden="false" customHeight="false" outlineLevel="0" collapsed="false">
      <c r="A42" s="4" t="s">
        <v>2751</v>
      </c>
      <c r="B42" s="4" t="s">
        <v>2718</v>
      </c>
      <c r="C42" s="4" t="s">
        <v>2752</v>
      </c>
      <c r="D42" s="4" t="n">
        <v>14.5</v>
      </c>
      <c r="E42" s="4" t="n">
        <v>0.25</v>
      </c>
      <c r="F42" s="4" t="s">
        <v>57</v>
      </c>
      <c r="G42" s="4" t="n">
        <v>7.5</v>
      </c>
      <c r="H42" s="4"/>
      <c r="I42" s="4" t="n">
        <v>0</v>
      </c>
      <c r="J42" s="4"/>
      <c r="K42" s="4" t="n">
        <v>0</v>
      </c>
      <c r="L42" s="24" t="n">
        <f aca="false">D42*(1+0.75*(IFERROR(G42*INDEX(Calculator!$E$6:$E$23,MATCH(F42,Calculator!$A$6:$A$23,0)),0)+IFERROR(I42*INDEX(Calculator!$E$6:$E$23,MATCH(H42,Calculator!$A$6:$A$23,0)),0)+IFERROR(K42*INDEX(Calculator!$E$6:$E$23,MATCH(J42,Calculator!$A$6:$A$23,0)),0))*(1+Constants!$B$23*Calculator!$C$27)/1000)*(1+Calculator!$C$45+Calculator!$C$37)*Calculator!$C$39*(1-(1-MIN(Calculator!$C$44,MIN(1,E42+Calculator!$E$6/10*Constants!$B$16+Calculator!$C$36+Calculator!$C$40+Constants!$B$24*Calculator!$C$27)))*Constants!$B$6)</f>
        <v>15.004455</v>
      </c>
    </row>
    <row r="43" customFormat="false" ht="15" hidden="false" customHeight="false" outlineLevel="0" collapsed="false">
      <c r="A43" s="4" t="s">
        <v>2753</v>
      </c>
      <c r="B43" s="4" t="s">
        <v>2718</v>
      </c>
      <c r="C43" s="4" t="s">
        <v>989</v>
      </c>
      <c r="D43" s="4" t="n">
        <v>16</v>
      </c>
      <c r="E43" s="4" t="n">
        <v>0</v>
      </c>
      <c r="F43" s="4" t="s">
        <v>57</v>
      </c>
      <c r="G43" s="4" t="n">
        <v>8</v>
      </c>
      <c r="H43" s="4"/>
      <c r="I43" s="4" t="n">
        <v>0</v>
      </c>
      <c r="J43" s="4"/>
      <c r="K43" s="4" t="n">
        <v>0</v>
      </c>
      <c r="L43" s="24" t="n">
        <f aca="false">D43*(1+0.75*(IFERROR(G43*INDEX(Calculator!$E$6:$E$23,MATCH(F43,Calculator!$A$6:$A$23,0)),0)+IFERROR(I43*INDEX(Calculator!$E$6:$E$23,MATCH(H43,Calculator!$A$6:$A$23,0)),0)+IFERROR(K43*INDEX(Calculator!$E$6:$E$23,MATCH(J43,Calculator!$A$6:$A$23,0)),0))*(1+Constants!$B$23*Calculator!$C$27)/1000)*(1+Calculator!$C$45+Calculator!$C$37)*Calculator!$C$39*(1-(1-MIN(Calculator!$C$44,MIN(1,E43+Calculator!$E$6/10*Constants!$B$16+Calculator!$C$36+Calculator!$C$40+Constants!$B$24*Calculator!$C$27)))*Constants!$B$6)</f>
        <v>15.02664</v>
      </c>
    </row>
    <row r="44" customFormat="false" ht="15" hidden="false" customHeight="false" outlineLevel="0" collapsed="false">
      <c r="A44" s="4" t="s">
        <v>2754</v>
      </c>
      <c r="B44" s="4" t="s">
        <v>2698</v>
      </c>
      <c r="C44" s="4" t="s">
        <v>2691</v>
      </c>
      <c r="D44" s="4" t="n">
        <v>19</v>
      </c>
      <c r="E44" s="4" t="n">
        <v>0</v>
      </c>
      <c r="F44" s="4" t="s">
        <v>55</v>
      </c>
      <c r="G44" s="4" t="n">
        <v>6.5</v>
      </c>
      <c r="H44" s="4"/>
      <c r="I44" s="4" t="n">
        <v>0</v>
      </c>
      <c r="J44" s="4"/>
      <c r="K44" s="4" t="n">
        <v>0</v>
      </c>
      <c r="L44" s="24" t="n">
        <f aca="false">D44*(1+0.75*(IFERROR(G44*INDEX(Calculator!$E$6:$E$23,MATCH(F44,Calculator!$A$6:$A$23,0)),0)+IFERROR(I44*INDEX(Calculator!$E$6:$E$23,MATCH(H44,Calculator!$A$6:$A$23,0)),0)+IFERROR(K44*INDEX(Calculator!$E$6:$E$23,MATCH(J44,Calculator!$A$6:$A$23,0)),0))*(1+Constants!$B$23*Calculator!$C$27)/1000)*(1+Calculator!$C$45+Calculator!$C$37)*Calculator!$C$39*(1-(1-MIN(Calculator!$C$44,MIN(1,E44+Calculator!$E$6/10*Constants!$B$16+Calculator!$C$36+Calculator!$C$40+Constants!$B$24*Calculator!$C$27)))*Constants!$B$6)</f>
        <v>27.92803412985</v>
      </c>
    </row>
    <row r="45" customFormat="false" ht="15" hidden="false" customHeight="false" outlineLevel="0" collapsed="false">
      <c r="A45" s="4" t="s">
        <v>2755</v>
      </c>
      <c r="B45" s="4" t="s">
        <v>2693</v>
      </c>
      <c r="C45" s="4" t="s">
        <v>2756</v>
      </c>
      <c r="D45" s="4" t="n">
        <v>26</v>
      </c>
      <c r="E45" s="4" t="n">
        <v>0</v>
      </c>
      <c r="F45" s="4" t="s">
        <v>53</v>
      </c>
      <c r="G45" s="4" t="n">
        <v>11</v>
      </c>
      <c r="H45" s="4"/>
      <c r="I45" s="4" t="n">
        <v>0</v>
      </c>
      <c r="J45" s="4"/>
      <c r="K45" s="4" t="n">
        <v>0</v>
      </c>
      <c r="L45" s="24" t="n">
        <f aca="false">D45*(1+0.75*(IFERROR(G45*INDEX(Calculator!$E$6:$E$23,MATCH(F45,Calculator!$A$6:$A$23,0)),0)+IFERROR(I45*INDEX(Calculator!$E$6:$E$23,MATCH(H45,Calculator!$A$6:$A$23,0)),0)+IFERROR(K45*INDEX(Calculator!$E$6:$E$23,MATCH(J45,Calculator!$A$6:$A$23,0)),0))*(1+Constants!$B$23*Calculator!$C$27)/1000)*(1+Calculator!$C$45+Calculator!$C$37)*Calculator!$C$39*(1-(1-MIN(Calculator!$C$44,MIN(1,E45+Calculator!$E$6/10*Constants!$B$16+Calculator!$C$36+Calculator!$C$40+Constants!$B$24*Calculator!$C$27)))*Constants!$B$6)</f>
        <v>24.41829</v>
      </c>
    </row>
    <row r="46" customFormat="false" ht="15" hidden="false" customHeight="false" outlineLevel="0" collapsed="false">
      <c r="A46" s="4" t="s">
        <v>2757</v>
      </c>
      <c r="B46" s="4" t="s">
        <v>2729</v>
      </c>
      <c r="C46" s="4" t="s">
        <v>2758</v>
      </c>
      <c r="D46" s="4" t="n">
        <v>15</v>
      </c>
      <c r="E46" s="4" t="n">
        <v>0.1</v>
      </c>
      <c r="F46" s="4" t="s">
        <v>57</v>
      </c>
      <c r="G46" s="4" t="n">
        <v>7</v>
      </c>
      <c r="H46" s="4" t="s">
        <v>61</v>
      </c>
      <c r="I46" s="4" t="n">
        <v>4</v>
      </c>
      <c r="J46" s="4"/>
      <c r="K46" s="4" t="n">
        <v>0</v>
      </c>
      <c r="L46" s="24" t="n">
        <f aca="false">D46*(1+0.75*(IFERROR(G46*INDEX(Calculator!$E$6:$E$23,MATCH(F46,Calculator!$A$6:$A$23,0)),0)+IFERROR(I46*INDEX(Calculator!$E$6:$E$23,MATCH(H46,Calculator!$A$6:$A$23,0)),0)+IFERROR(K46*INDEX(Calculator!$E$6:$E$23,MATCH(J46,Calculator!$A$6:$A$23,0)),0))*(1+Constants!$B$23*Calculator!$C$27)/1000)*(1+Calculator!$C$45+Calculator!$C$37)*Calculator!$C$39*(1-(1-MIN(Calculator!$C$44,MIN(1,E46+Calculator!$E$6/10*Constants!$B$16+Calculator!$C$36+Calculator!$C$40+Constants!$B$24*Calculator!$C$27)))*Constants!$B$6)</f>
        <v>14.661225</v>
      </c>
    </row>
    <row r="47" customFormat="false" ht="15" hidden="false" customHeight="false" outlineLevel="0" collapsed="false">
      <c r="A47" s="4" t="s">
        <v>2759</v>
      </c>
      <c r="B47" s="4" t="s">
        <v>2726</v>
      </c>
      <c r="C47" s="4" t="s">
        <v>989</v>
      </c>
      <c r="D47" s="4" t="n">
        <v>14</v>
      </c>
      <c r="E47" s="4" t="n">
        <v>0.1</v>
      </c>
      <c r="F47" s="4" t="s">
        <v>57</v>
      </c>
      <c r="G47" s="4" t="n">
        <v>9.5</v>
      </c>
      <c r="H47" s="4"/>
      <c r="I47" s="4" t="n">
        <v>0</v>
      </c>
      <c r="J47" s="4"/>
      <c r="K47" s="4" t="n">
        <v>0</v>
      </c>
      <c r="L47" s="24" t="n">
        <f aca="false">D47*(1+0.75*(IFERROR(G47*INDEX(Calculator!$E$6:$E$23,MATCH(F47,Calculator!$A$6:$A$23,0)),0)+IFERROR(I47*INDEX(Calculator!$E$6:$E$23,MATCH(H47,Calculator!$A$6:$A$23,0)),0)+IFERROR(K47*INDEX(Calculator!$E$6:$E$23,MATCH(J47,Calculator!$A$6:$A$23,0)),0))*(1+Constants!$B$23*Calculator!$C$27)/1000)*(1+Calculator!$C$45+Calculator!$C$37)*Calculator!$C$39*(1-(1-MIN(Calculator!$C$44,MIN(1,E47+Calculator!$E$6/10*Constants!$B$16+Calculator!$C$36+Calculator!$C$40+Constants!$B$24*Calculator!$C$27)))*Constants!$B$6)</f>
        <v>13.68381</v>
      </c>
    </row>
    <row r="48" customFormat="false" ht="15" hidden="false" customHeight="false" outlineLevel="0" collapsed="false">
      <c r="A48" s="4" t="s">
        <v>2760</v>
      </c>
      <c r="B48" s="4" t="s">
        <v>1190</v>
      </c>
      <c r="C48" s="4" t="s">
        <v>1712</v>
      </c>
      <c r="D48" s="4" t="n">
        <v>22</v>
      </c>
      <c r="E48" s="4" t="n">
        <v>0.05</v>
      </c>
      <c r="F48" s="4" t="s">
        <v>55</v>
      </c>
      <c r="G48" s="4" t="n">
        <v>6</v>
      </c>
      <c r="H48" s="4"/>
      <c r="I48" s="4" t="n">
        <v>0</v>
      </c>
      <c r="J48" s="4"/>
      <c r="K48" s="4" t="n">
        <v>0</v>
      </c>
      <c r="L48" s="24" t="n">
        <f aca="false">D48*(1+0.75*(IFERROR(G48*INDEX(Calculator!$E$6:$E$23,MATCH(F48,Calculator!$A$6:$A$23,0)),0)+IFERROR(I48*INDEX(Calculator!$E$6:$E$23,MATCH(H48,Calculator!$A$6:$A$23,0)),0)+IFERROR(K48*INDEX(Calculator!$E$6:$E$23,MATCH(J48,Calculator!$A$6:$A$23,0)),0))*(1+Constants!$B$23*Calculator!$C$27)/1000)*(1+Calculator!$C$45+Calculator!$C$37)*Calculator!$C$39*(1-(1-MIN(Calculator!$C$44,MIN(1,E48+Calculator!$E$6/10*Constants!$B$16+Calculator!$C$36+Calculator!$C$40+Constants!$B$24*Calculator!$C$27)))*Constants!$B$6)</f>
        <v>32.0797927032</v>
      </c>
    </row>
    <row r="49" customFormat="false" ht="15" hidden="false" customHeight="false" outlineLevel="0" collapsed="false">
      <c r="A49" s="4" t="s">
        <v>2761</v>
      </c>
      <c r="B49" s="4" t="s">
        <v>2700</v>
      </c>
      <c r="C49" s="4" t="s">
        <v>2762</v>
      </c>
      <c r="D49" s="4" t="n">
        <v>22</v>
      </c>
      <c r="E49" s="4" t="n">
        <v>0</v>
      </c>
      <c r="F49" s="4" t="s">
        <v>53</v>
      </c>
      <c r="G49" s="4" t="n">
        <v>8</v>
      </c>
      <c r="H49" s="4"/>
      <c r="I49" s="4" t="n">
        <v>0</v>
      </c>
      <c r="J49" s="4"/>
      <c r="K49" s="4" t="n">
        <v>0</v>
      </c>
      <c r="L49" s="24" t="n">
        <f aca="false">D49*(1+0.75*(IFERROR(G49*INDEX(Calculator!$E$6:$E$23,MATCH(F49,Calculator!$A$6:$A$23,0)),0)+IFERROR(I49*INDEX(Calculator!$E$6:$E$23,MATCH(H49,Calculator!$A$6:$A$23,0)),0)+IFERROR(K49*INDEX(Calculator!$E$6:$E$23,MATCH(J49,Calculator!$A$6:$A$23,0)),0))*(1+Constants!$B$23*Calculator!$C$27)/1000)*(1+Calculator!$C$45+Calculator!$C$37)*Calculator!$C$39*(1-(1-MIN(Calculator!$C$44,MIN(1,E49+Calculator!$E$6/10*Constants!$B$16+Calculator!$C$36+Calculator!$C$40+Constants!$B$24*Calculator!$C$27)))*Constants!$B$6)</f>
        <v>20.66163</v>
      </c>
    </row>
    <row r="50" customFormat="false" ht="15" hidden="false" customHeight="false" outlineLevel="0" collapsed="false">
      <c r="A50" s="4" t="s">
        <v>2763</v>
      </c>
      <c r="B50" s="4" t="s">
        <v>2729</v>
      </c>
      <c r="C50" s="4" t="s">
        <v>1618</v>
      </c>
      <c r="D50" s="4" t="n">
        <v>15</v>
      </c>
      <c r="E50" s="4" t="n">
        <v>0.2</v>
      </c>
      <c r="F50" s="4" t="s">
        <v>57</v>
      </c>
      <c r="G50" s="4" t="n">
        <v>8</v>
      </c>
      <c r="H50" s="4"/>
      <c r="I50" s="4" t="n">
        <v>0</v>
      </c>
      <c r="J50" s="4"/>
      <c r="K50" s="4" t="n">
        <v>0</v>
      </c>
      <c r="L50" s="24" t="n">
        <f aca="false">D50*(1+0.75*(IFERROR(G50*INDEX(Calculator!$E$6:$E$23,MATCH(F50,Calculator!$A$6:$A$23,0)),0)+IFERROR(I50*INDEX(Calculator!$E$6:$E$23,MATCH(H50,Calculator!$A$6:$A$23,0)),0)+IFERROR(K50*INDEX(Calculator!$E$6:$E$23,MATCH(J50,Calculator!$A$6:$A$23,0)),0))*(1+Constants!$B$23*Calculator!$C$27)/1000)*(1+Calculator!$C$45+Calculator!$C$37)*Calculator!$C$39*(1-(1-MIN(Calculator!$C$44,MIN(1,E50+Calculator!$E$6/10*Constants!$B$16+Calculator!$C$36+Calculator!$C$40+Constants!$B$24*Calculator!$C$27)))*Constants!$B$6)</f>
        <v>15.234975</v>
      </c>
    </row>
    <row r="51" customFormat="false" ht="15" hidden="false" customHeight="false" outlineLevel="0" collapsed="false">
      <c r="A51" s="4" t="s">
        <v>2764</v>
      </c>
      <c r="B51" s="4" t="s">
        <v>2700</v>
      </c>
      <c r="C51" s="4" t="s">
        <v>2746</v>
      </c>
      <c r="D51" s="4" t="n">
        <v>22</v>
      </c>
      <c r="E51" s="4" t="n">
        <v>0</v>
      </c>
      <c r="F51" s="4" t="s">
        <v>53</v>
      </c>
      <c r="G51" s="4" t="n">
        <v>4</v>
      </c>
      <c r="H51" s="4" t="s">
        <v>67</v>
      </c>
      <c r="I51" s="4" t="n">
        <v>9</v>
      </c>
      <c r="J51" s="4"/>
      <c r="K51" s="4" t="n">
        <v>0</v>
      </c>
      <c r="L51" s="24" t="n">
        <f aca="false">D51*(1+0.75*(IFERROR(G51*INDEX(Calculator!$E$6:$E$23,MATCH(F51,Calculator!$A$6:$A$23,0)),0)+IFERROR(I51*INDEX(Calculator!$E$6:$E$23,MATCH(H51,Calculator!$A$6:$A$23,0)),0)+IFERROR(K51*INDEX(Calculator!$E$6:$E$23,MATCH(J51,Calculator!$A$6:$A$23,0)),0))*(1+Constants!$B$23*Calculator!$C$27)/1000)*(1+Calculator!$C$45+Calculator!$C$37)*Calculator!$C$39*(1-(1-MIN(Calculator!$C$44,MIN(1,E51+Calculator!$E$6/10*Constants!$B$16+Calculator!$C$36+Calculator!$C$40+Constants!$B$24*Calculator!$C$27)))*Constants!$B$6)</f>
        <v>20.66163</v>
      </c>
    </row>
    <row r="52" customFormat="false" ht="15" hidden="false" customHeight="false" outlineLevel="0" collapsed="false">
      <c r="A52" s="4" t="s">
        <v>2765</v>
      </c>
      <c r="B52" s="4" t="s">
        <v>2698</v>
      </c>
      <c r="C52" s="4" t="s">
        <v>2766</v>
      </c>
      <c r="D52" s="4" t="n">
        <v>17.5</v>
      </c>
      <c r="E52" s="4" t="n">
        <v>0.15</v>
      </c>
      <c r="F52" s="4" t="s">
        <v>55</v>
      </c>
      <c r="G52" s="4" t="n">
        <v>5</v>
      </c>
      <c r="H52" s="4" t="s">
        <v>65</v>
      </c>
      <c r="I52" s="4" t="n">
        <v>5</v>
      </c>
      <c r="J52" s="4"/>
      <c r="K52" s="4" t="n">
        <v>0</v>
      </c>
      <c r="L52" s="24" t="n">
        <f aca="false">D52*(1+0.75*(IFERROR(G52*INDEX(Calculator!$E$6:$E$23,MATCH(F52,Calculator!$A$6:$A$23,0)),0)+IFERROR(I52*INDEX(Calculator!$E$6:$E$23,MATCH(H52,Calculator!$A$6:$A$23,0)),0)+IFERROR(K52*INDEX(Calculator!$E$6:$E$23,MATCH(J52,Calculator!$A$6:$A$23,0)),0))*(1+Constants!$B$23*Calculator!$C$27)/1000)*(1+Calculator!$C$45+Calculator!$C$37)*Calculator!$C$39*(1-(1-MIN(Calculator!$C$44,MIN(1,E52+Calculator!$E$6/10*Constants!$B$16+Calculator!$C$36+Calculator!$C$40+Constants!$B$24*Calculator!$C$27)))*Constants!$B$6)</f>
        <v>25.020378915</v>
      </c>
    </row>
    <row r="53" customFormat="false" ht="15" hidden="false" customHeight="false" outlineLevel="0" collapsed="false">
      <c r="A53" s="4" t="s">
        <v>2767</v>
      </c>
      <c r="B53" s="4" t="s">
        <v>2700</v>
      </c>
      <c r="C53" s="4" t="s">
        <v>2701</v>
      </c>
      <c r="D53" s="4" t="n">
        <v>26</v>
      </c>
      <c r="E53" s="4" t="n">
        <v>0.1</v>
      </c>
      <c r="F53" s="4" t="s">
        <v>53</v>
      </c>
      <c r="G53" s="4" t="n">
        <v>8</v>
      </c>
      <c r="H53" s="4"/>
      <c r="I53" s="4" t="n">
        <v>0</v>
      </c>
      <c r="J53" s="4"/>
      <c r="K53" s="4" t="n">
        <v>0</v>
      </c>
      <c r="L53" s="24" t="n">
        <f aca="false">D53*(1+0.75*(IFERROR(G53*INDEX(Calculator!$E$6:$E$23,MATCH(F53,Calculator!$A$6:$A$23,0)),0)+IFERROR(I53*INDEX(Calculator!$E$6:$E$23,MATCH(H53,Calculator!$A$6:$A$23,0)),0)+IFERROR(K53*INDEX(Calculator!$E$6:$E$23,MATCH(J53,Calculator!$A$6:$A$23,0)),0))*(1+Constants!$B$23*Calculator!$C$27)/1000)*(1+Calculator!$C$45+Calculator!$C$37)*Calculator!$C$39*(1-(1-MIN(Calculator!$C$44,MIN(1,E53+Calculator!$E$6/10*Constants!$B$16+Calculator!$C$36+Calculator!$C$40+Constants!$B$24*Calculator!$C$27)))*Constants!$B$6)</f>
        <v>25.41279</v>
      </c>
    </row>
    <row r="54" customFormat="false" ht="15" hidden="false" customHeight="false" outlineLevel="0" collapsed="false">
      <c r="A54" s="4" t="s">
        <v>2768</v>
      </c>
      <c r="B54" s="4" t="s">
        <v>2700</v>
      </c>
      <c r="C54" s="4" t="s">
        <v>2769</v>
      </c>
      <c r="D54" s="4" t="n">
        <v>28.5</v>
      </c>
      <c r="E54" s="4" t="n">
        <v>0</v>
      </c>
      <c r="F54" s="4" t="s">
        <v>53</v>
      </c>
      <c r="G54" s="4" t="n">
        <v>8</v>
      </c>
      <c r="H54" s="4"/>
      <c r="I54" s="4" t="n">
        <v>0</v>
      </c>
      <c r="J54" s="4"/>
      <c r="K54" s="4" t="n">
        <v>0</v>
      </c>
      <c r="L54" s="24" t="n">
        <f aca="false">D54*(1+0.75*(IFERROR(G54*INDEX(Calculator!$E$6:$E$23,MATCH(F54,Calculator!$A$6:$A$23,0)),0)+IFERROR(I54*INDEX(Calculator!$E$6:$E$23,MATCH(H54,Calculator!$A$6:$A$23,0)),0)+IFERROR(K54*INDEX(Calculator!$E$6:$E$23,MATCH(J54,Calculator!$A$6:$A$23,0)),0))*(1+Constants!$B$23*Calculator!$C$27)/1000)*(1+Calculator!$C$45+Calculator!$C$37)*Calculator!$C$39*(1-(1-MIN(Calculator!$C$44,MIN(1,E54+Calculator!$E$6/10*Constants!$B$16+Calculator!$C$36+Calculator!$C$40+Constants!$B$24*Calculator!$C$27)))*Constants!$B$6)</f>
        <v>26.7662025</v>
      </c>
    </row>
    <row r="55" customFormat="false" ht="15" hidden="false" customHeight="false" outlineLevel="0" collapsed="false">
      <c r="A55" s="4" t="s">
        <v>2770</v>
      </c>
      <c r="B55" s="4" t="s">
        <v>2700</v>
      </c>
      <c r="C55" s="4" t="s">
        <v>2771</v>
      </c>
      <c r="D55" s="4" t="n">
        <v>26</v>
      </c>
      <c r="E55" s="4" t="n">
        <v>0</v>
      </c>
      <c r="F55" s="4" t="s">
        <v>53</v>
      </c>
      <c r="G55" s="4" t="n">
        <v>7</v>
      </c>
      <c r="H55" s="4"/>
      <c r="I55" s="4" t="n">
        <v>0</v>
      </c>
      <c r="J55" s="4"/>
      <c r="K55" s="4" t="n">
        <v>0</v>
      </c>
      <c r="L55" s="24" t="n">
        <f aca="false">D55*(1+0.75*(IFERROR(G55*INDEX(Calculator!$E$6:$E$23,MATCH(F55,Calculator!$A$6:$A$23,0)),0)+IFERROR(I55*INDEX(Calculator!$E$6:$E$23,MATCH(H55,Calculator!$A$6:$A$23,0)),0)+IFERROR(K55*INDEX(Calculator!$E$6:$E$23,MATCH(J55,Calculator!$A$6:$A$23,0)),0))*(1+Constants!$B$23*Calculator!$C$27)/1000)*(1+Calculator!$C$45+Calculator!$C$37)*Calculator!$C$39*(1-(1-MIN(Calculator!$C$44,MIN(1,E55+Calculator!$E$6/10*Constants!$B$16+Calculator!$C$36+Calculator!$C$40+Constants!$B$24*Calculator!$C$27)))*Constants!$B$6)</f>
        <v>24.41829</v>
      </c>
    </row>
    <row r="56" customFormat="false" ht="15" hidden="false" customHeight="false" outlineLevel="0" collapsed="false">
      <c r="A56" s="4" t="s">
        <v>2772</v>
      </c>
      <c r="B56" s="4" t="s">
        <v>2703</v>
      </c>
      <c r="C56" s="4" t="s">
        <v>1269</v>
      </c>
      <c r="D56" s="4" t="n">
        <v>14</v>
      </c>
      <c r="E56" s="4" t="n">
        <v>0</v>
      </c>
      <c r="F56" s="4" t="s">
        <v>57</v>
      </c>
      <c r="G56" s="4" t="n">
        <v>12</v>
      </c>
      <c r="H56" s="4"/>
      <c r="I56" s="4" t="n">
        <v>0</v>
      </c>
      <c r="J56" s="4"/>
      <c r="K56" s="4" t="n">
        <v>0</v>
      </c>
      <c r="L56" s="24" t="n">
        <f aca="false">D56*(1+0.75*(IFERROR(G56*INDEX(Calculator!$E$6:$E$23,MATCH(F56,Calculator!$A$6:$A$23,0)),0)+IFERROR(I56*INDEX(Calculator!$E$6:$E$23,MATCH(H56,Calculator!$A$6:$A$23,0)),0)+IFERROR(K56*INDEX(Calculator!$E$6:$E$23,MATCH(J56,Calculator!$A$6:$A$23,0)),0))*(1+Constants!$B$23*Calculator!$C$27)/1000)*(1+Calculator!$C$45+Calculator!$C$37)*Calculator!$C$39*(1-(1-MIN(Calculator!$C$44,MIN(1,E56+Calculator!$E$6/10*Constants!$B$16+Calculator!$C$36+Calculator!$C$40+Constants!$B$24*Calculator!$C$27)))*Constants!$B$6)</f>
        <v>13.14831</v>
      </c>
    </row>
    <row r="57" customFormat="false" ht="15" hidden="false" customHeight="false" outlineLevel="0" collapsed="false">
      <c r="A57" s="4" t="s">
        <v>2773</v>
      </c>
      <c r="B57" s="4" t="s">
        <v>1190</v>
      </c>
      <c r="C57" s="4" t="s">
        <v>1712</v>
      </c>
      <c r="D57" s="4" t="n">
        <v>18</v>
      </c>
      <c r="E57" s="4" t="n">
        <v>0.15</v>
      </c>
      <c r="F57" s="4" t="s">
        <v>55</v>
      </c>
      <c r="G57" s="4" t="n">
        <v>5</v>
      </c>
      <c r="H57" s="4"/>
      <c r="I57" s="4" t="n">
        <v>0</v>
      </c>
      <c r="J57" s="4"/>
      <c r="K57" s="4" t="n">
        <v>0</v>
      </c>
      <c r="L57" s="24" t="n">
        <f aca="false">D57*(1+0.75*(IFERROR(G57*INDEX(Calculator!$E$6:$E$23,MATCH(F57,Calculator!$A$6:$A$23,0)),0)+IFERROR(I57*INDEX(Calculator!$E$6:$E$23,MATCH(H57,Calculator!$A$6:$A$23,0)),0)+IFERROR(K57*INDEX(Calculator!$E$6:$E$23,MATCH(J57,Calculator!$A$6:$A$23,0)),0))*(1+Constants!$B$23*Calculator!$C$27)/1000)*(1+Calculator!$C$45+Calculator!$C$37)*Calculator!$C$39*(1-(1-MIN(Calculator!$C$44,MIN(1,E57+Calculator!$E$6/10*Constants!$B$16+Calculator!$C$36+Calculator!$C$40+Constants!$B$24*Calculator!$C$27)))*Constants!$B$6)</f>
        <v>25.735246884</v>
      </c>
    </row>
    <row r="58" customFormat="false" ht="15" hidden="false" customHeight="false" outlineLevel="0" collapsed="false">
      <c r="A58" s="4" t="s">
        <v>2774</v>
      </c>
      <c r="B58" s="4" t="s">
        <v>2729</v>
      </c>
      <c r="C58" s="4" t="s">
        <v>2775</v>
      </c>
      <c r="D58" s="4" t="n">
        <v>14</v>
      </c>
      <c r="E58" s="4" t="n">
        <v>0.2</v>
      </c>
      <c r="F58" s="4" t="s">
        <v>57</v>
      </c>
      <c r="G58" s="4" t="n">
        <v>4</v>
      </c>
      <c r="H58" s="4" t="s">
        <v>67</v>
      </c>
      <c r="I58" s="4" t="n">
        <v>9</v>
      </c>
      <c r="J58" s="4"/>
      <c r="K58" s="4" t="n">
        <v>0</v>
      </c>
      <c r="L58" s="24" t="n">
        <f aca="false">D58*(1+0.75*(IFERROR(G58*INDEX(Calculator!$E$6:$E$23,MATCH(F58,Calculator!$A$6:$A$23,0)),0)+IFERROR(I58*INDEX(Calculator!$E$6:$E$23,MATCH(H58,Calculator!$A$6:$A$23,0)),0)+IFERROR(K58*INDEX(Calculator!$E$6:$E$23,MATCH(J58,Calculator!$A$6:$A$23,0)),0))*(1+Constants!$B$23*Calculator!$C$27)/1000)*(1+Calculator!$C$45+Calculator!$C$37)*Calculator!$C$39*(1-(1-MIN(Calculator!$C$44,MIN(1,E58+Calculator!$E$6/10*Constants!$B$16+Calculator!$C$36+Calculator!$C$40+Constants!$B$24*Calculator!$C$27)))*Constants!$B$6)</f>
        <v>14.21931</v>
      </c>
    </row>
    <row r="59" customFormat="false" ht="15" hidden="false" customHeight="false" outlineLevel="0" collapsed="false">
      <c r="A59" s="4" t="s">
        <v>2776</v>
      </c>
      <c r="B59" s="4" t="s">
        <v>1190</v>
      </c>
      <c r="C59" s="4" t="s">
        <v>2691</v>
      </c>
      <c r="D59" s="4" t="n">
        <v>17</v>
      </c>
      <c r="E59" s="4" t="n">
        <v>0.05</v>
      </c>
      <c r="F59" s="4" t="s">
        <v>55</v>
      </c>
      <c r="G59" s="4" t="n">
        <v>4.5</v>
      </c>
      <c r="H59" s="4"/>
      <c r="I59" s="4" t="n">
        <v>0</v>
      </c>
      <c r="J59" s="4"/>
      <c r="K59" s="4" t="n">
        <v>0</v>
      </c>
      <c r="L59" s="24" t="n">
        <f aca="false">D59*(1+0.75*(IFERROR(G59*INDEX(Calculator!$E$6:$E$23,MATCH(F59,Calculator!$A$6:$A$23,0)),0)+IFERROR(I59*INDEX(Calculator!$E$6:$E$23,MATCH(H59,Calculator!$A$6:$A$23,0)),0)+IFERROR(K59*INDEX(Calculator!$E$6:$E$23,MATCH(J59,Calculator!$A$6:$A$23,0)),0))*(1+Constants!$B$23*Calculator!$C$27)/1000)*(1+Calculator!$C$45+Calculator!$C$37)*Calculator!$C$39*(1-(1-MIN(Calculator!$C$44,MIN(1,E59+Calculator!$E$6/10*Constants!$B$16+Calculator!$C$36+Calculator!$C$40+Constants!$B$24*Calculator!$C$27)))*Constants!$B$6)</f>
        <v>22.6644305439</v>
      </c>
    </row>
    <row r="60" customFormat="false" ht="15" hidden="false" customHeight="false" outlineLevel="0" collapsed="false">
      <c r="A60" s="4" t="s">
        <v>2777</v>
      </c>
      <c r="B60" s="4" t="s">
        <v>2706</v>
      </c>
      <c r="C60" s="4" t="s">
        <v>2186</v>
      </c>
      <c r="D60" s="4" t="n">
        <v>26</v>
      </c>
      <c r="E60" s="4" t="n">
        <v>0.1</v>
      </c>
      <c r="F60" s="4" t="s">
        <v>53</v>
      </c>
      <c r="G60" s="4" t="n">
        <v>8.4</v>
      </c>
      <c r="H60" s="4"/>
      <c r="I60" s="4" t="n">
        <v>0</v>
      </c>
      <c r="J60" s="4"/>
      <c r="K60" s="4" t="n">
        <v>0</v>
      </c>
      <c r="L60" s="24" t="n">
        <f aca="false">D60*(1+0.75*(IFERROR(G60*INDEX(Calculator!$E$6:$E$23,MATCH(F60,Calculator!$A$6:$A$23,0)),0)+IFERROR(I60*INDEX(Calculator!$E$6:$E$23,MATCH(H60,Calculator!$A$6:$A$23,0)),0)+IFERROR(K60*INDEX(Calculator!$E$6:$E$23,MATCH(J60,Calculator!$A$6:$A$23,0)),0))*(1+Constants!$B$23*Calculator!$C$27)/1000)*(1+Calculator!$C$45+Calculator!$C$37)*Calculator!$C$39*(1-(1-MIN(Calculator!$C$44,MIN(1,E60+Calculator!$E$6/10*Constants!$B$16+Calculator!$C$36+Calculator!$C$40+Constants!$B$24*Calculator!$C$27)))*Constants!$B$6)</f>
        <v>25.41279</v>
      </c>
    </row>
    <row r="61" customFormat="false" ht="15" hidden="false" customHeight="false" outlineLevel="0" collapsed="false">
      <c r="A61" s="4" t="s">
        <v>2778</v>
      </c>
      <c r="B61" s="4" t="s">
        <v>2698</v>
      </c>
      <c r="C61" s="4" t="s">
        <v>2779</v>
      </c>
      <c r="D61" s="4" t="n">
        <v>5</v>
      </c>
      <c r="E61" s="4" t="n">
        <v>0.1</v>
      </c>
      <c r="F61" s="4" t="s">
        <v>55</v>
      </c>
      <c r="G61" s="4" t="n">
        <v>7</v>
      </c>
      <c r="H61" s="4"/>
      <c r="I61" s="4" t="n">
        <v>0</v>
      </c>
      <c r="J61" s="4"/>
      <c r="K61" s="4" t="n">
        <v>0</v>
      </c>
      <c r="L61" s="24" t="n">
        <f aca="false">D61*(1+0.75*(IFERROR(G61*INDEX(Calculator!$E$6:$E$23,MATCH(F61,Calculator!$A$6:$A$23,0)),0)+IFERROR(I61*INDEX(Calculator!$E$6:$E$23,MATCH(H61,Calculator!$A$6:$A$23,0)),0)+IFERROR(K61*INDEX(Calculator!$E$6:$E$23,MATCH(J61,Calculator!$A$6:$A$23,0)),0))*(1+Constants!$B$23*Calculator!$C$27)/1000)*(1+Calculator!$C$45+Calculator!$C$37)*Calculator!$C$39*(1-(1-MIN(Calculator!$C$44,MIN(1,E61+Calculator!$E$6/10*Constants!$B$16+Calculator!$C$36+Calculator!$C$40+Constants!$B$24*Calculator!$C$27)))*Constants!$B$6)</f>
        <v>7.8612511035</v>
      </c>
    </row>
    <row r="62" customFormat="false" ht="15" hidden="false" customHeight="false" outlineLevel="0" collapsed="false">
      <c r="A62" s="4" t="s">
        <v>2780</v>
      </c>
      <c r="B62" s="4" t="s">
        <v>2703</v>
      </c>
      <c r="C62" s="4" t="s">
        <v>2781</v>
      </c>
      <c r="D62" s="4" t="n">
        <v>16</v>
      </c>
      <c r="E62" s="4" t="n">
        <v>0</v>
      </c>
      <c r="F62" s="4" t="s">
        <v>57</v>
      </c>
      <c r="G62" s="4" t="n">
        <v>12</v>
      </c>
      <c r="H62" s="4"/>
      <c r="I62" s="4" t="n">
        <v>0</v>
      </c>
      <c r="J62" s="4"/>
      <c r="K62" s="4" t="n">
        <v>0</v>
      </c>
      <c r="L62" s="24" t="n">
        <f aca="false">D62*(1+0.75*(IFERROR(G62*INDEX(Calculator!$E$6:$E$23,MATCH(F62,Calculator!$A$6:$A$23,0)),0)+IFERROR(I62*INDEX(Calculator!$E$6:$E$23,MATCH(H62,Calculator!$A$6:$A$23,0)),0)+IFERROR(K62*INDEX(Calculator!$E$6:$E$23,MATCH(J62,Calculator!$A$6:$A$23,0)),0))*(1+Constants!$B$23*Calculator!$C$27)/1000)*(1+Calculator!$C$45+Calculator!$C$37)*Calculator!$C$39*(1-(1-MIN(Calculator!$C$44,MIN(1,E62+Calculator!$E$6/10*Constants!$B$16+Calculator!$C$36+Calculator!$C$40+Constants!$B$24*Calculator!$C$27)))*Constants!$B$6)</f>
        <v>15.02664</v>
      </c>
    </row>
    <row r="63" customFormat="false" ht="15" hidden="false" customHeight="false" outlineLevel="0" collapsed="false">
      <c r="A63" s="4" t="s">
        <v>2782</v>
      </c>
      <c r="B63" s="4" t="s">
        <v>2726</v>
      </c>
      <c r="C63" s="4" t="s">
        <v>1618</v>
      </c>
      <c r="D63" s="4" t="n">
        <v>15</v>
      </c>
      <c r="E63" s="4" t="n">
        <v>0.1</v>
      </c>
      <c r="F63" s="4" t="s">
        <v>57</v>
      </c>
      <c r="G63" s="4" t="n">
        <v>8</v>
      </c>
      <c r="H63" s="4"/>
      <c r="I63" s="4" t="n">
        <v>0</v>
      </c>
      <c r="J63" s="4"/>
      <c r="K63" s="4" t="n">
        <v>0</v>
      </c>
      <c r="L63" s="24" t="n">
        <f aca="false">D63*(1+0.75*(IFERROR(G63*INDEX(Calculator!$E$6:$E$23,MATCH(F63,Calculator!$A$6:$A$23,0)),0)+IFERROR(I63*INDEX(Calculator!$E$6:$E$23,MATCH(H63,Calculator!$A$6:$A$23,0)),0)+IFERROR(K63*INDEX(Calculator!$E$6:$E$23,MATCH(J63,Calculator!$A$6:$A$23,0)),0))*(1+Constants!$B$23*Calculator!$C$27)/1000)*(1+Calculator!$C$45+Calculator!$C$37)*Calculator!$C$39*(1-(1-MIN(Calculator!$C$44,MIN(1,E63+Calculator!$E$6/10*Constants!$B$16+Calculator!$C$36+Calculator!$C$40+Constants!$B$24*Calculator!$C$27)))*Constants!$B$6)</f>
        <v>14.661225</v>
      </c>
    </row>
    <row r="64" customFormat="false" ht="15" hidden="false" customHeight="false" outlineLevel="0" collapsed="false">
      <c r="A64" s="4" t="s">
        <v>2783</v>
      </c>
      <c r="B64" s="4" t="s">
        <v>2693</v>
      </c>
      <c r="C64" s="4" t="s">
        <v>2784</v>
      </c>
      <c r="D64" s="4" t="n">
        <v>26</v>
      </c>
      <c r="E64" s="4" t="n">
        <v>0.15</v>
      </c>
      <c r="F64" s="4" t="s">
        <v>53</v>
      </c>
      <c r="G64" s="4" t="n">
        <v>8</v>
      </c>
      <c r="H64" s="4"/>
      <c r="I64" s="4" t="n">
        <v>0</v>
      </c>
      <c r="J64" s="4"/>
      <c r="K64" s="4" t="n">
        <v>0</v>
      </c>
      <c r="L64" s="24" t="n">
        <f aca="false">D64*(1+0.75*(IFERROR(G64*INDEX(Calculator!$E$6:$E$23,MATCH(F64,Calculator!$A$6:$A$23,0)),0)+IFERROR(I64*INDEX(Calculator!$E$6:$E$23,MATCH(H64,Calculator!$A$6:$A$23,0)),0)+IFERROR(K64*INDEX(Calculator!$E$6:$E$23,MATCH(J64,Calculator!$A$6:$A$23,0)),0))*(1+Constants!$B$23*Calculator!$C$27)/1000)*(1+Calculator!$C$45+Calculator!$C$37)*Calculator!$C$39*(1-(1-MIN(Calculator!$C$44,MIN(1,E64+Calculator!$E$6/10*Constants!$B$16+Calculator!$C$36+Calculator!$C$40+Constants!$B$24*Calculator!$C$27)))*Constants!$B$6)</f>
        <v>25.91004</v>
      </c>
    </row>
    <row r="65" customFormat="false" ht="15" hidden="false" customHeight="false" outlineLevel="0" collapsed="false">
      <c r="A65" s="4" t="s">
        <v>2785</v>
      </c>
      <c r="B65" s="4" t="s">
        <v>2786</v>
      </c>
      <c r="C65" s="4" t="s">
        <v>2691</v>
      </c>
      <c r="D65" s="4" t="n">
        <v>17</v>
      </c>
      <c r="E65" s="4" t="n">
        <v>0.05</v>
      </c>
      <c r="F65" s="4" t="s">
        <v>55</v>
      </c>
      <c r="G65" s="4" t="n">
        <v>7</v>
      </c>
      <c r="H65" s="4" t="s">
        <v>49</v>
      </c>
      <c r="I65" s="4" t="n">
        <v>1</v>
      </c>
      <c r="J65" s="4"/>
      <c r="K65" s="4" t="n">
        <v>0</v>
      </c>
      <c r="L65" s="24" t="n">
        <f aca="false">D65*(1+0.75*(IFERROR(G65*INDEX(Calculator!$E$6:$E$23,MATCH(F65,Calculator!$A$6:$A$23,0)),0)+IFERROR(I65*INDEX(Calculator!$E$6:$E$23,MATCH(H65,Calculator!$A$6:$A$23,0)),0)+IFERROR(K65*INDEX(Calculator!$E$6:$E$23,MATCH(J65,Calculator!$A$6:$A$23,0)),0))*(1+Constants!$B$23*Calculator!$C$27)/1000)*(1+Calculator!$C$45+Calculator!$C$37)*Calculator!$C$39*(1-(1-MIN(Calculator!$C$44,MIN(1,E65+Calculator!$E$6/10*Constants!$B$16+Calculator!$C$36+Calculator!$C$40+Constants!$B$24*Calculator!$C$27)))*Constants!$B$6)</f>
        <v>26.5439526141</v>
      </c>
    </row>
    <row r="66" customFormat="false" ht="15" hidden="false" customHeight="false" outlineLevel="0" collapsed="false">
      <c r="A66" s="4" t="s">
        <v>2787</v>
      </c>
      <c r="B66" s="4" t="s">
        <v>2703</v>
      </c>
      <c r="C66" s="4" t="s">
        <v>1269</v>
      </c>
      <c r="D66" s="4" t="n">
        <v>13</v>
      </c>
      <c r="E66" s="4" t="n">
        <v>0.05</v>
      </c>
      <c r="F66" s="4" t="s">
        <v>57</v>
      </c>
      <c r="G66" s="4" t="n">
        <v>11</v>
      </c>
      <c r="H66" s="4"/>
      <c r="I66" s="4" t="n">
        <v>0</v>
      </c>
      <c r="J66" s="4"/>
      <c r="K66" s="4" t="n">
        <v>0</v>
      </c>
      <c r="L66" s="24" t="n">
        <f aca="false">D66*(1+0.75*(IFERROR(G66*INDEX(Calculator!$E$6:$E$23,MATCH(F66,Calculator!$A$6:$A$23,0)),0)+IFERROR(I66*INDEX(Calculator!$E$6:$E$23,MATCH(H66,Calculator!$A$6:$A$23,0)),0)+IFERROR(K66*INDEX(Calculator!$E$6:$E$23,MATCH(J66,Calculator!$A$6:$A$23,0)),0))*(1+Constants!$B$23*Calculator!$C$27)/1000)*(1+Calculator!$C$45+Calculator!$C$37)*Calculator!$C$39*(1-(1-MIN(Calculator!$C$44,MIN(1,E66+Calculator!$E$6/10*Constants!$B$16+Calculator!$C$36+Calculator!$C$40+Constants!$B$24*Calculator!$C$27)))*Constants!$B$6)</f>
        <v>12.45777</v>
      </c>
    </row>
    <row r="67" customFormat="false" ht="15" hidden="false" customHeight="false" outlineLevel="0" collapsed="false">
      <c r="A67" s="4" t="s">
        <v>2788</v>
      </c>
      <c r="B67" s="4" t="s">
        <v>2789</v>
      </c>
      <c r="C67" s="4" t="s">
        <v>2790</v>
      </c>
      <c r="D67" s="4" t="n">
        <v>27</v>
      </c>
      <c r="E67" s="4" t="n">
        <v>0</v>
      </c>
      <c r="F67" s="4" t="s">
        <v>53</v>
      </c>
      <c r="G67" s="4" t="n">
        <v>8.3</v>
      </c>
      <c r="H67" s="4"/>
      <c r="I67" s="4" t="n">
        <v>0</v>
      </c>
      <c r="J67" s="4"/>
      <c r="K67" s="4" t="n">
        <v>0</v>
      </c>
      <c r="L67" s="24" t="n">
        <f aca="false">D67*(1+0.75*(IFERROR(G67*INDEX(Calculator!$E$6:$E$23,MATCH(F67,Calculator!$A$6:$A$23,0)),0)+IFERROR(I67*INDEX(Calculator!$E$6:$E$23,MATCH(H67,Calculator!$A$6:$A$23,0)),0)+IFERROR(K67*INDEX(Calculator!$E$6:$E$23,MATCH(J67,Calculator!$A$6:$A$23,0)),0))*(1+Constants!$B$23*Calculator!$C$27)/1000)*(1+Calculator!$C$45+Calculator!$C$37)*Calculator!$C$39*(1-(1-MIN(Calculator!$C$44,MIN(1,E67+Calculator!$E$6/10*Constants!$B$16+Calculator!$C$36+Calculator!$C$40+Constants!$B$24*Calculator!$C$27)))*Constants!$B$6)</f>
        <v>25.357455</v>
      </c>
    </row>
    <row r="68" customFormat="false" ht="15" hidden="false" customHeight="false" outlineLevel="0" collapsed="false">
      <c r="A68" s="4" t="s">
        <v>2791</v>
      </c>
      <c r="B68" s="4" t="s">
        <v>2693</v>
      </c>
      <c r="C68" s="4" t="s">
        <v>1464</v>
      </c>
      <c r="D68" s="4" t="n">
        <v>26</v>
      </c>
      <c r="E68" s="4" t="n">
        <v>0.1</v>
      </c>
      <c r="F68" s="4" t="s">
        <v>53</v>
      </c>
      <c r="G68" s="4" t="n">
        <v>9</v>
      </c>
      <c r="H68" s="4"/>
      <c r="I68" s="4" t="n">
        <v>0</v>
      </c>
      <c r="J68" s="4"/>
      <c r="K68" s="4" t="n">
        <v>0</v>
      </c>
      <c r="L68" s="24" t="n">
        <f aca="false">D68*(1+0.75*(IFERROR(G68*INDEX(Calculator!$E$6:$E$23,MATCH(F68,Calculator!$A$6:$A$23,0)),0)+IFERROR(I68*INDEX(Calculator!$E$6:$E$23,MATCH(H68,Calculator!$A$6:$A$23,0)),0)+IFERROR(K68*INDEX(Calculator!$E$6:$E$23,MATCH(J68,Calculator!$A$6:$A$23,0)),0))*(1+Constants!$B$23*Calculator!$C$27)/1000)*(1+Calculator!$C$45+Calculator!$C$37)*Calculator!$C$39*(1-(1-MIN(Calculator!$C$44,MIN(1,E68+Calculator!$E$6/10*Constants!$B$16+Calculator!$C$36+Calculator!$C$40+Constants!$B$24*Calculator!$C$27)))*Constants!$B$6)</f>
        <v>25.41279</v>
      </c>
    </row>
    <row r="69" customFormat="false" ht="15" hidden="false" customHeight="false" outlineLevel="0" collapsed="false">
      <c r="A69" s="4" t="s">
        <v>2792</v>
      </c>
      <c r="B69" s="4" t="s">
        <v>2700</v>
      </c>
      <c r="C69" s="4" t="s">
        <v>2793</v>
      </c>
      <c r="D69" s="4" t="n">
        <v>25.5</v>
      </c>
      <c r="E69" s="4" t="n">
        <v>0.05</v>
      </c>
      <c r="F69" s="4" t="s">
        <v>53</v>
      </c>
      <c r="G69" s="4" t="n">
        <v>10</v>
      </c>
      <c r="H69" s="4"/>
      <c r="I69" s="4" t="n">
        <v>0</v>
      </c>
      <c r="J69" s="4"/>
      <c r="K69" s="4" t="n">
        <v>0</v>
      </c>
      <c r="L69" s="24" t="n">
        <f aca="false">D69*(1+0.75*(IFERROR(G69*INDEX(Calculator!$E$6:$E$23,MATCH(F69,Calculator!$A$6:$A$23,0)),0)+IFERROR(I69*INDEX(Calculator!$E$6:$E$23,MATCH(H69,Calculator!$A$6:$A$23,0)),0)+IFERROR(K69*INDEX(Calculator!$E$6:$E$23,MATCH(J69,Calculator!$A$6:$A$23,0)),0))*(1+Constants!$B$23*Calculator!$C$27)/1000)*(1+Calculator!$C$45+Calculator!$C$37)*Calculator!$C$39*(1-(1-MIN(Calculator!$C$44,MIN(1,E69+Calculator!$E$6/10*Constants!$B$16+Calculator!$C$36+Calculator!$C$40+Constants!$B$24*Calculator!$C$27)))*Constants!$B$6)</f>
        <v>24.436395</v>
      </c>
    </row>
    <row r="70" customFormat="false" ht="15" hidden="false" customHeight="false" outlineLevel="0" collapsed="false">
      <c r="A70" s="4" t="s">
        <v>2794</v>
      </c>
      <c r="B70" s="4" t="s">
        <v>2706</v>
      </c>
      <c r="C70" s="4" t="s">
        <v>2793</v>
      </c>
      <c r="D70" s="4" t="n">
        <v>25</v>
      </c>
      <c r="E70" s="4" t="n">
        <v>0.1</v>
      </c>
      <c r="F70" s="4" t="s">
        <v>53</v>
      </c>
      <c r="G70" s="4" t="n">
        <v>9</v>
      </c>
      <c r="H70" s="4"/>
      <c r="I70" s="4" t="n">
        <v>0</v>
      </c>
      <c r="J70" s="4"/>
      <c r="K70" s="4" t="n">
        <v>0</v>
      </c>
      <c r="L70" s="24" t="n">
        <f aca="false">D70*(1+0.75*(IFERROR(G70*INDEX(Calculator!$E$6:$E$23,MATCH(F70,Calculator!$A$6:$A$23,0)),0)+IFERROR(I70*INDEX(Calculator!$E$6:$E$23,MATCH(H70,Calculator!$A$6:$A$23,0)),0)+IFERROR(K70*INDEX(Calculator!$E$6:$E$23,MATCH(J70,Calculator!$A$6:$A$23,0)),0))*(1+Constants!$B$23*Calculator!$C$27)/1000)*(1+Calculator!$C$45+Calculator!$C$37)*Calculator!$C$39*(1-(1-MIN(Calculator!$C$44,MIN(1,E70+Calculator!$E$6/10*Constants!$B$16+Calculator!$C$36+Calculator!$C$40+Constants!$B$24*Calculator!$C$27)))*Constants!$B$6)</f>
        <v>24.435375</v>
      </c>
    </row>
    <row r="71" customFormat="false" ht="15" hidden="false" customHeight="false" outlineLevel="0" collapsed="false">
      <c r="A71" s="4" t="s">
        <v>2795</v>
      </c>
      <c r="B71" s="4" t="s">
        <v>2693</v>
      </c>
      <c r="C71" s="4" t="s">
        <v>2796</v>
      </c>
      <c r="D71" s="4" t="n">
        <v>24</v>
      </c>
      <c r="E71" s="4" t="n">
        <v>0</v>
      </c>
      <c r="F71" s="4" t="s">
        <v>53</v>
      </c>
      <c r="G71" s="4" t="n">
        <v>9.5</v>
      </c>
      <c r="H71" s="4"/>
      <c r="I71" s="4" t="n">
        <v>0</v>
      </c>
      <c r="J71" s="4"/>
      <c r="K71" s="4" t="n">
        <v>0</v>
      </c>
      <c r="L71" s="24" t="n">
        <f aca="false">D71*(1+0.75*(IFERROR(G71*INDEX(Calculator!$E$6:$E$23,MATCH(F71,Calculator!$A$6:$A$23,0)),0)+IFERROR(I71*INDEX(Calculator!$E$6:$E$23,MATCH(H71,Calculator!$A$6:$A$23,0)),0)+IFERROR(K71*INDEX(Calculator!$E$6:$E$23,MATCH(J71,Calculator!$A$6:$A$23,0)),0))*(1+Constants!$B$23*Calculator!$C$27)/1000)*(1+Calculator!$C$45+Calculator!$C$37)*Calculator!$C$39*(1-(1-MIN(Calculator!$C$44,MIN(1,E71+Calculator!$E$6/10*Constants!$B$16+Calculator!$C$36+Calculator!$C$40+Constants!$B$24*Calculator!$C$27)))*Constants!$B$6)</f>
        <v>22.53996</v>
      </c>
    </row>
    <row r="72" customFormat="false" ht="15" hidden="false" customHeight="false" outlineLevel="0" collapsed="false">
      <c r="A72" s="4" t="s">
        <v>2797</v>
      </c>
      <c r="B72" s="4" t="s">
        <v>2698</v>
      </c>
      <c r="C72" s="4" t="s">
        <v>1712</v>
      </c>
      <c r="D72" s="4" t="n">
        <v>20</v>
      </c>
      <c r="E72" s="4" t="n">
        <v>0.25</v>
      </c>
      <c r="F72" s="4" t="s">
        <v>55</v>
      </c>
      <c r="G72" s="4" t="n">
        <v>7.7</v>
      </c>
      <c r="H72" s="4"/>
      <c r="I72" s="4" t="n">
        <v>0</v>
      </c>
      <c r="J72" s="4"/>
      <c r="K72" s="4" t="n">
        <v>0</v>
      </c>
      <c r="L72" s="24" t="n">
        <f aca="false">D72*(1+0.75*(IFERROR(G72*INDEX(Calculator!$E$6:$E$23,MATCH(F72,Calculator!$A$6:$A$23,0)),0)+IFERROR(I72*INDEX(Calculator!$E$6:$E$23,MATCH(H72,Calculator!$A$6:$A$23,0)),0)+IFERROR(K72*INDEX(Calculator!$E$6:$E$23,MATCH(J72,Calculator!$A$6:$A$23,0)),0))*(1+Constants!$B$23*Calculator!$C$27)/1000)*(1+Calculator!$C$45+Calculator!$C$37)*Calculator!$C$39*(1-(1-MIN(Calculator!$C$44,MIN(1,E72+Calculator!$E$6/10*Constants!$B$16+Calculator!$C$36+Calculator!$C$40+Constants!$B$24*Calculator!$C$27)))*Constants!$B$6)</f>
        <v>34.5503549604</v>
      </c>
    </row>
    <row r="73" customFormat="false" ht="15" hidden="false" customHeight="false" outlineLevel="0" collapsed="false">
      <c r="A73" s="4" t="s">
        <v>2798</v>
      </c>
      <c r="B73" s="4" t="s">
        <v>2698</v>
      </c>
      <c r="C73" s="4" t="s">
        <v>2799</v>
      </c>
      <c r="D73" s="4" t="n">
        <v>16.5</v>
      </c>
      <c r="E73" s="4" t="n">
        <v>0.15</v>
      </c>
      <c r="F73" s="4" t="s">
        <v>55</v>
      </c>
      <c r="G73" s="4" t="n">
        <v>4</v>
      </c>
      <c r="H73" s="4" t="s">
        <v>67</v>
      </c>
      <c r="I73" s="4" t="n">
        <v>4.5</v>
      </c>
      <c r="J73" s="4" t="s">
        <v>65</v>
      </c>
      <c r="K73" s="4" t="n">
        <v>4.5</v>
      </c>
      <c r="L73" s="24" t="n">
        <f aca="false">D73*(1+0.75*(IFERROR(G73*INDEX(Calculator!$E$6:$E$23,MATCH(F73,Calculator!$A$6:$A$23,0)),0)+IFERROR(I73*INDEX(Calculator!$E$6:$E$23,MATCH(H73,Calculator!$A$6:$A$23,0)),0)+IFERROR(K73*INDEX(Calculator!$E$6:$E$23,MATCH(J73,Calculator!$A$6:$A$23,0)),0))*(1+Constants!$B$23*Calculator!$C$27)/1000)*(1+Calculator!$C$45+Calculator!$C$37)*Calculator!$C$39*(1-(1-MIN(Calculator!$C$44,MIN(1,E73+Calculator!$E$6/10*Constants!$B$16+Calculator!$C$36+Calculator!$C$40+Constants!$B$24*Calculator!$C$27)))*Constants!$B$6)</f>
        <v>22.1610963816</v>
      </c>
    </row>
    <row r="74" customFormat="false" ht="15" hidden="false" customHeight="false" outlineLevel="0" collapsed="false">
      <c r="A74" s="4" t="s">
        <v>2800</v>
      </c>
      <c r="B74" s="4" t="s">
        <v>2698</v>
      </c>
      <c r="C74" s="4" t="s">
        <v>2801</v>
      </c>
      <c r="D74" s="4" t="n">
        <v>16</v>
      </c>
      <c r="E74" s="4" t="n">
        <v>0</v>
      </c>
      <c r="F74" s="4" t="s">
        <v>55</v>
      </c>
      <c r="G74" s="4" t="n">
        <v>6</v>
      </c>
      <c r="H74" s="4"/>
      <c r="I74" s="4" t="n">
        <v>0</v>
      </c>
      <c r="J74" s="4"/>
      <c r="K74" s="4" t="n">
        <v>0</v>
      </c>
      <c r="L74" s="24" t="n">
        <f aca="false">D74*(1+0.75*(IFERROR(G74*INDEX(Calculator!$E$6:$E$23,MATCH(F74,Calculator!$A$6:$A$23,0)),0)+IFERROR(I74*INDEX(Calculator!$E$6:$E$23,MATCH(H74,Calculator!$A$6:$A$23,0)),0)+IFERROR(K74*INDEX(Calculator!$E$6:$E$23,MATCH(J74,Calculator!$A$6:$A$23,0)),0))*(1+Constants!$B$23*Calculator!$C$27)/1000)*(1+Calculator!$C$45+Calculator!$C$37)*Calculator!$C$39*(1-(1-MIN(Calculator!$C$44,MIN(1,E74+Calculator!$E$6/10*Constants!$B$16+Calculator!$C$36+Calculator!$C$40+Constants!$B$24*Calculator!$C$27)))*Constants!$B$6)</f>
        <v>22.8651364896</v>
      </c>
    </row>
    <row r="75" customFormat="false" ht="15" hidden="false" customHeight="false" outlineLevel="0" collapsed="false">
      <c r="A75" s="4" t="s">
        <v>2802</v>
      </c>
      <c r="B75" s="4" t="s">
        <v>2700</v>
      </c>
      <c r="C75" s="4" t="s">
        <v>1464</v>
      </c>
      <c r="D75" s="4" t="n">
        <v>23</v>
      </c>
      <c r="E75" s="4" t="n">
        <v>0.15</v>
      </c>
      <c r="F75" s="4" t="s">
        <v>53</v>
      </c>
      <c r="G75" s="4" t="n">
        <v>8</v>
      </c>
      <c r="H75" s="4"/>
      <c r="I75" s="4" t="n">
        <v>0</v>
      </c>
      <c r="J75" s="4"/>
      <c r="K75" s="4" t="n">
        <v>0</v>
      </c>
      <c r="L75" s="24" t="n">
        <f aca="false">D75*(1+0.75*(IFERROR(G75*INDEX(Calculator!$E$6:$E$23,MATCH(F75,Calculator!$A$6:$A$23,0)),0)+IFERROR(I75*INDEX(Calculator!$E$6:$E$23,MATCH(H75,Calculator!$A$6:$A$23,0)),0)+IFERROR(K75*INDEX(Calculator!$E$6:$E$23,MATCH(J75,Calculator!$A$6:$A$23,0)),0))*(1+Constants!$B$23*Calculator!$C$27)/1000)*(1+Calculator!$C$45+Calculator!$C$37)*Calculator!$C$39*(1-(1-MIN(Calculator!$C$44,MIN(1,E75+Calculator!$E$6/10*Constants!$B$16+Calculator!$C$36+Calculator!$C$40+Constants!$B$24*Calculator!$C$27)))*Constants!$B$6)</f>
        <v>22.92042</v>
      </c>
    </row>
    <row r="76" customFormat="false" ht="15" hidden="false" customHeight="false" outlineLevel="0" collapsed="false">
      <c r="A76" s="4" t="s">
        <v>2803</v>
      </c>
      <c r="B76" s="4" t="s">
        <v>2726</v>
      </c>
      <c r="C76" s="4" t="s">
        <v>2781</v>
      </c>
      <c r="D76" s="4" t="n">
        <v>15.5</v>
      </c>
      <c r="E76" s="4" t="n">
        <v>0.05</v>
      </c>
      <c r="F76" s="4" t="s">
        <v>57</v>
      </c>
      <c r="G76" s="4" t="n">
        <v>9.5</v>
      </c>
      <c r="H76" s="4"/>
      <c r="I76" s="4" t="n">
        <v>0</v>
      </c>
      <c r="J76" s="4"/>
      <c r="K76" s="4" t="n">
        <v>0</v>
      </c>
      <c r="L76" s="24" t="n">
        <f aca="false">D76*(1+0.75*(IFERROR(G76*INDEX(Calculator!$E$6:$E$23,MATCH(F76,Calculator!$A$6:$A$23,0)),0)+IFERROR(I76*INDEX(Calculator!$E$6:$E$23,MATCH(H76,Calculator!$A$6:$A$23,0)),0)+IFERROR(K76*INDEX(Calculator!$E$6:$E$23,MATCH(J76,Calculator!$A$6:$A$23,0)),0))*(1+Constants!$B$23*Calculator!$C$27)/1000)*(1+Calculator!$C$45+Calculator!$C$37)*Calculator!$C$39*(1-(1-MIN(Calculator!$C$44,MIN(1,E76+Calculator!$E$6/10*Constants!$B$16+Calculator!$C$36+Calculator!$C$40+Constants!$B$24*Calculator!$C$27)))*Constants!$B$6)</f>
        <v>14.853495</v>
      </c>
    </row>
    <row r="77" customFormat="false" ht="15" hidden="false" customHeight="false" outlineLevel="0" collapsed="false">
      <c r="A77" s="4" t="s">
        <v>2804</v>
      </c>
      <c r="B77" s="4" t="s">
        <v>2718</v>
      </c>
      <c r="C77" s="4" t="s">
        <v>2805</v>
      </c>
      <c r="D77" s="4" t="n">
        <v>14</v>
      </c>
      <c r="E77" s="4" t="n">
        <v>0.3</v>
      </c>
      <c r="F77" s="4" t="s">
        <v>57</v>
      </c>
      <c r="G77" s="4" t="n">
        <v>8</v>
      </c>
      <c r="H77" s="4" t="s">
        <v>47</v>
      </c>
      <c r="I77" s="4" t="n">
        <v>1.5</v>
      </c>
      <c r="J77" s="4" t="s">
        <v>71</v>
      </c>
      <c r="K77" s="4" t="n">
        <v>3</v>
      </c>
      <c r="L77" s="24" t="n">
        <f aca="false">D77*(1+0.75*(IFERROR(G77*INDEX(Calculator!$E$6:$E$23,MATCH(F77,Calculator!$A$6:$A$23,0)),0)+IFERROR(I77*INDEX(Calculator!$E$6:$E$23,MATCH(H77,Calculator!$A$6:$A$23,0)),0)+IFERROR(K77*INDEX(Calculator!$E$6:$E$23,MATCH(J77,Calculator!$A$6:$A$23,0)),0))*(1+Constants!$B$23*Calculator!$C$27)/1000)*(1+Calculator!$C$45+Calculator!$C$37)*Calculator!$C$39*(1-(1-MIN(Calculator!$C$44,MIN(1,E77+Calculator!$E$6/10*Constants!$B$16+Calculator!$C$36+Calculator!$C$40+Constants!$B$24*Calculator!$C$27)))*Constants!$B$6)</f>
        <v>14.75481</v>
      </c>
    </row>
    <row r="78" customFormat="false" ht="15" hidden="false" customHeight="false" outlineLevel="0" collapsed="false">
      <c r="A78" s="4" t="s">
        <v>2806</v>
      </c>
      <c r="B78" s="4" t="s">
        <v>2703</v>
      </c>
      <c r="C78" s="4" t="s">
        <v>1203</v>
      </c>
      <c r="D78" s="4" t="n">
        <v>11</v>
      </c>
      <c r="E78" s="4" t="n">
        <v>0</v>
      </c>
      <c r="F78" s="4" t="s">
        <v>57</v>
      </c>
      <c r="G78" s="4" t="n">
        <v>12</v>
      </c>
      <c r="H78" s="4"/>
      <c r="I78" s="4" t="n">
        <v>0</v>
      </c>
      <c r="J78" s="4"/>
      <c r="K78" s="4" t="n">
        <v>0</v>
      </c>
      <c r="L78" s="24" t="n">
        <f aca="false">D78*(1+0.75*(IFERROR(G78*INDEX(Calculator!$E$6:$E$23,MATCH(F78,Calculator!$A$6:$A$23,0)),0)+IFERROR(I78*INDEX(Calculator!$E$6:$E$23,MATCH(H78,Calculator!$A$6:$A$23,0)),0)+IFERROR(K78*INDEX(Calculator!$E$6:$E$23,MATCH(J78,Calculator!$A$6:$A$23,0)),0))*(1+Constants!$B$23*Calculator!$C$27)/1000)*(1+Calculator!$C$45+Calculator!$C$37)*Calculator!$C$39*(1-(1-MIN(Calculator!$C$44,MIN(1,E78+Calculator!$E$6/10*Constants!$B$16+Calculator!$C$36+Calculator!$C$40+Constants!$B$24*Calculator!$C$27)))*Constants!$B$6)</f>
        <v>10.330815</v>
      </c>
    </row>
    <row r="79" customFormat="false" ht="15" hidden="false" customHeight="false" outlineLevel="0" collapsed="false">
      <c r="A79" s="4" t="s">
        <v>2807</v>
      </c>
      <c r="B79" s="4" t="s">
        <v>2698</v>
      </c>
      <c r="C79" s="4" t="s">
        <v>2808</v>
      </c>
      <c r="D79" s="4" t="n">
        <v>15</v>
      </c>
      <c r="E79" s="4" t="n">
        <v>0.05</v>
      </c>
      <c r="F79" s="4" t="s">
        <v>55</v>
      </c>
      <c r="G79" s="4" t="n">
        <v>8</v>
      </c>
      <c r="H79" s="4"/>
      <c r="I79" s="4" t="n">
        <v>0</v>
      </c>
      <c r="J79" s="4"/>
      <c r="K79" s="4" t="n">
        <v>0</v>
      </c>
      <c r="L79" s="24" t="n">
        <f aca="false">D79*(1+0.75*(IFERROR(G79*INDEX(Calculator!$E$6:$E$23,MATCH(F79,Calculator!$A$6:$A$23,0)),0)+IFERROR(I79*INDEX(Calculator!$E$6:$E$23,MATCH(H79,Calculator!$A$6:$A$23,0)),0)+IFERROR(K79*INDEX(Calculator!$E$6:$E$23,MATCH(J79,Calculator!$A$6:$A$23,0)),0))*(1+Constants!$B$23*Calculator!$C$27)/1000)*(1+Calculator!$C$45+Calculator!$C$37)*Calculator!$C$39*(1-(1-MIN(Calculator!$C$44,MIN(1,E79+Calculator!$E$6/10*Constants!$B$16+Calculator!$C$36+Calculator!$C$40+Constants!$B$24*Calculator!$C$27)))*Constants!$B$6)</f>
        <v>24.371997912</v>
      </c>
    </row>
    <row r="80" customFormat="false" ht="15" hidden="false" customHeight="false" outlineLevel="0" collapsed="false">
      <c r="A80" s="4" t="s">
        <v>2809</v>
      </c>
      <c r="B80" s="4" t="s">
        <v>2718</v>
      </c>
      <c r="C80" s="4" t="s">
        <v>1269</v>
      </c>
      <c r="D80" s="4" t="n">
        <v>12.5</v>
      </c>
      <c r="E80" s="4" t="n">
        <v>0</v>
      </c>
      <c r="F80" s="4" t="s">
        <v>57</v>
      </c>
      <c r="G80" s="4" t="n">
        <v>12</v>
      </c>
      <c r="H80" s="4"/>
      <c r="I80" s="4" t="n">
        <v>0</v>
      </c>
      <c r="J80" s="4"/>
      <c r="K80" s="4" t="n">
        <v>0</v>
      </c>
      <c r="L80" s="24" t="n">
        <f aca="false">D80*(1+0.75*(IFERROR(G80*INDEX(Calculator!$E$6:$E$23,MATCH(F80,Calculator!$A$6:$A$23,0)),0)+IFERROR(I80*INDEX(Calculator!$E$6:$E$23,MATCH(H80,Calculator!$A$6:$A$23,0)),0)+IFERROR(K80*INDEX(Calculator!$E$6:$E$23,MATCH(J80,Calculator!$A$6:$A$23,0)),0))*(1+Constants!$B$23*Calculator!$C$27)/1000)*(1+Calculator!$C$45+Calculator!$C$37)*Calculator!$C$39*(1-(1-MIN(Calculator!$C$44,MIN(1,E80+Calculator!$E$6/10*Constants!$B$16+Calculator!$C$36+Calculator!$C$40+Constants!$B$24*Calculator!$C$27)))*Constants!$B$6)</f>
        <v>11.7395625</v>
      </c>
    </row>
    <row r="81" customFormat="false" ht="15" hidden="false" customHeight="false" outlineLevel="0" collapsed="false">
      <c r="A81" s="4" t="s">
        <v>2810</v>
      </c>
      <c r="B81" s="4" t="s">
        <v>2706</v>
      </c>
      <c r="C81" s="4" t="s">
        <v>2811</v>
      </c>
      <c r="D81" s="4" t="n">
        <v>24</v>
      </c>
      <c r="E81" s="4" t="n">
        <v>0</v>
      </c>
      <c r="F81" s="4" t="s">
        <v>53</v>
      </c>
      <c r="G81" s="4" t="n">
        <v>8</v>
      </c>
      <c r="H81" s="4"/>
      <c r="I81" s="4" t="n">
        <v>0</v>
      </c>
      <c r="J81" s="4"/>
      <c r="K81" s="4" t="n">
        <v>0</v>
      </c>
      <c r="L81" s="24" t="n">
        <f aca="false">D81*(1+0.75*(IFERROR(G81*INDEX(Calculator!$E$6:$E$23,MATCH(F81,Calculator!$A$6:$A$23,0)),0)+IFERROR(I81*INDEX(Calculator!$E$6:$E$23,MATCH(H81,Calculator!$A$6:$A$23,0)),0)+IFERROR(K81*INDEX(Calculator!$E$6:$E$23,MATCH(J81,Calculator!$A$6:$A$23,0)),0))*(1+Constants!$B$23*Calculator!$C$27)/1000)*(1+Calculator!$C$45+Calculator!$C$37)*Calculator!$C$39*(1-(1-MIN(Calculator!$C$44,MIN(1,E81+Calculator!$E$6/10*Constants!$B$16+Calculator!$C$36+Calculator!$C$40+Constants!$B$24*Calculator!$C$27)))*Constants!$B$6)</f>
        <v>22.53996</v>
      </c>
    </row>
    <row r="82" customFormat="false" ht="15" hidden="false" customHeight="false" outlineLevel="0" collapsed="false">
      <c r="A82" s="4" t="s">
        <v>2812</v>
      </c>
      <c r="B82" s="4" t="s">
        <v>2698</v>
      </c>
      <c r="C82" s="4" t="s">
        <v>2714</v>
      </c>
      <c r="D82" s="4" t="n">
        <v>18</v>
      </c>
      <c r="E82" s="4" t="n">
        <v>0.13</v>
      </c>
      <c r="F82" s="4" t="s">
        <v>55</v>
      </c>
      <c r="G82" s="4" t="n">
        <v>7.5</v>
      </c>
      <c r="H82" s="4"/>
      <c r="I82" s="4" t="n">
        <v>0</v>
      </c>
      <c r="J82" s="4"/>
      <c r="K82" s="4" t="n">
        <v>0</v>
      </c>
      <c r="L82" s="24" t="n">
        <f aca="false">D82*(1+0.75*(IFERROR(G82*INDEX(Calculator!$E$6:$E$23,MATCH(F82,Calculator!$A$6:$A$23,0)),0)+IFERROR(I82*INDEX(Calculator!$E$6:$E$23,MATCH(H82,Calculator!$A$6:$A$23,0)),0)+IFERROR(K82*INDEX(Calculator!$E$6:$E$23,MATCH(J82,Calculator!$A$6:$A$23,0)),0))*(1+Constants!$B$23*Calculator!$C$27)/1000)*(1+Calculator!$C$45+Calculator!$C$37)*Calculator!$C$39*(1-(1-MIN(Calculator!$C$44,MIN(1,E82+Calculator!$E$6/10*Constants!$B$16+Calculator!$C$36+Calculator!$C$40+Constants!$B$24*Calculator!$C$27)))*Constants!$B$6)</f>
        <v>29.406523041</v>
      </c>
    </row>
    <row r="83" customFormat="false" ht="15" hidden="false" customHeight="false" outlineLevel="0" collapsed="false">
      <c r="A83" s="4" t="s">
        <v>2813</v>
      </c>
      <c r="B83" s="4" t="s">
        <v>2718</v>
      </c>
      <c r="C83" s="4" t="s">
        <v>585</v>
      </c>
      <c r="D83" s="4" t="n">
        <v>24</v>
      </c>
      <c r="E83" s="4" t="n">
        <v>0.05</v>
      </c>
      <c r="F83" s="4" t="s">
        <v>53</v>
      </c>
      <c r="G83" s="4" t="n">
        <v>8</v>
      </c>
      <c r="H83" s="4"/>
      <c r="I83" s="4" t="n">
        <v>0</v>
      </c>
      <c r="J83" s="4"/>
      <c r="K83" s="4" t="n">
        <v>0</v>
      </c>
      <c r="L83" s="24" t="n">
        <f aca="false">D83*(1+0.75*(IFERROR(G83*INDEX(Calculator!$E$6:$E$23,MATCH(F83,Calculator!$A$6:$A$23,0)),0)+IFERROR(I83*INDEX(Calculator!$E$6:$E$23,MATCH(H83,Calculator!$A$6:$A$23,0)),0)+IFERROR(K83*INDEX(Calculator!$E$6:$E$23,MATCH(J83,Calculator!$A$6:$A$23,0)),0))*(1+Constants!$B$23*Calculator!$C$27)/1000)*(1+Calculator!$C$45+Calculator!$C$37)*Calculator!$C$39*(1-(1-MIN(Calculator!$C$44,MIN(1,E83+Calculator!$E$6/10*Constants!$B$16+Calculator!$C$36+Calculator!$C$40+Constants!$B$24*Calculator!$C$27)))*Constants!$B$6)</f>
        <v>22.99896</v>
      </c>
    </row>
    <row r="84" customFormat="false" ht="15" hidden="false" customHeight="false" outlineLevel="0" collapsed="false">
      <c r="A84" s="4" t="s">
        <v>2814</v>
      </c>
      <c r="B84" s="4" t="s">
        <v>2700</v>
      </c>
      <c r="C84" s="4" t="s">
        <v>2815</v>
      </c>
      <c r="D84" s="4" t="n">
        <v>22</v>
      </c>
      <c r="E84" s="4" t="n">
        <v>0.25</v>
      </c>
      <c r="F84" s="4" t="s">
        <v>53</v>
      </c>
      <c r="G84" s="4" t="n">
        <v>7</v>
      </c>
      <c r="H84" s="4" t="s">
        <v>47</v>
      </c>
      <c r="I84" s="4" t="n">
        <v>4</v>
      </c>
      <c r="J84" s="4"/>
      <c r="K84" s="4" t="n">
        <v>0</v>
      </c>
      <c r="L84" s="24" t="n">
        <f aca="false">D84*(1+0.75*(IFERROR(G84*INDEX(Calculator!$E$6:$E$23,MATCH(F84,Calculator!$A$6:$A$23,0)),0)+IFERROR(I84*INDEX(Calculator!$E$6:$E$23,MATCH(H84,Calculator!$A$6:$A$23,0)),0)+IFERROR(K84*INDEX(Calculator!$E$6:$E$23,MATCH(J84,Calculator!$A$6:$A$23,0)),0))*(1+Constants!$B$23*Calculator!$C$27)/1000)*(1+Calculator!$C$45+Calculator!$C$37)*Calculator!$C$39*(1-(1-MIN(Calculator!$C$44,MIN(1,E84+Calculator!$E$6/10*Constants!$B$16+Calculator!$C$36+Calculator!$C$40+Constants!$B$24*Calculator!$C$27)))*Constants!$B$6)</f>
        <v>22.76538</v>
      </c>
    </row>
    <row r="85" customFormat="false" ht="15" hidden="false" customHeight="false" outlineLevel="0" collapsed="false">
      <c r="A85" s="4" t="s">
        <v>2816</v>
      </c>
      <c r="B85" s="4" t="s">
        <v>2726</v>
      </c>
      <c r="C85" s="4" t="s">
        <v>976</v>
      </c>
      <c r="D85" s="4" t="n">
        <v>14</v>
      </c>
      <c r="E85" s="4" t="n">
        <v>0.05</v>
      </c>
      <c r="F85" s="4" t="s">
        <v>57</v>
      </c>
      <c r="G85" s="4" t="n">
        <v>9</v>
      </c>
      <c r="H85" s="4"/>
      <c r="I85" s="4" t="n">
        <v>0</v>
      </c>
      <c r="J85" s="4"/>
      <c r="K85" s="4" t="n">
        <v>0</v>
      </c>
      <c r="L85" s="24" t="n">
        <f aca="false">D85*(1+0.75*(IFERROR(G85*INDEX(Calculator!$E$6:$E$23,MATCH(F85,Calculator!$A$6:$A$23,0)),0)+IFERROR(I85*INDEX(Calculator!$E$6:$E$23,MATCH(H85,Calculator!$A$6:$A$23,0)),0)+IFERROR(K85*INDEX(Calculator!$E$6:$E$23,MATCH(J85,Calculator!$A$6:$A$23,0)),0))*(1+Constants!$B$23*Calculator!$C$27)/1000)*(1+Calculator!$C$45+Calculator!$C$37)*Calculator!$C$39*(1-(1-MIN(Calculator!$C$44,MIN(1,E85+Calculator!$E$6/10*Constants!$B$16+Calculator!$C$36+Calculator!$C$40+Constants!$B$24*Calculator!$C$27)))*Constants!$B$6)</f>
        <v>13.41606</v>
      </c>
    </row>
    <row r="86" customFormat="false" ht="15" hidden="false" customHeight="false" outlineLevel="0" collapsed="false">
      <c r="A86" s="4" t="s">
        <v>1357</v>
      </c>
      <c r="B86" s="4" t="s">
        <v>2718</v>
      </c>
      <c r="C86" s="4" t="s">
        <v>2817</v>
      </c>
      <c r="D86" s="4" t="n">
        <v>14.5</v>
      </c>
      <c r="E86" s="4" t="n">
        <v>0.15</v>
      </c>
      <c r="F86" s="4" t="s">
        <v>57</v>
      </c>
      <c r="G86" s="4" t="n">
        <v>8</v>
      </c>
      <c r="H86" s="4" t="s">
        <v>61</v>
      </c>
      <c r="I86" s="4" t="n">
        <v>1</v>
      </c>
      <c r="J86" s="4"/>
      <c r="K86" s="4" t="n">
        <v>0</v>
      </c>
      <c r="L86" s="24" t="n">
        <f aca="false">D86*(1+0.75*(IFERROR(G86*INDEX(Calculator!$E$6:$E$23,MATCH(F86,Calculator!$A$6:$A$23,0)),0)+IFERROR(I86*INDEX(Calculator!$E$6:$E$23,MATCH(H86,Calculator!$A$6:$A$23,0)),0)+IFERROR(K86*INDEX(Calculator!$E$6:$E$23,MATCH(J86,Calculator!$A$6:$A$23,0)),0))*(1+Constants!$B$23*Calculator!$C$27)/1000)*(1+Calculator!$C$45+Calculator!$C$37)*Calculator!$C$39*(1-(1-MIN(Calculator!$C$44,MIN(1,E86+Calculator!$E$6/10*Constants!$B$16+Calculator!$C$36+Calculator!$C$40+Constants!$B$24*Calculator!$C$27)))*Constants!$B$6)</f>
        <v>14.44983</v>
      </c>
    </row>
    <row r="87" customFormat="false" ht="15" hidden="false" customHeight="false" outlineLevel="0" collapsed="false">
      <c r="A87" s="4" t="s">
        <v>2818</v>
      </c>
      <c r="B87" s="4" t="s">
        <v>2706</v>
      </c>
      <c r="C87" s="4" t="s">
        <v>1464</v>
      </c>
      <c r="D87" s="4" t="n">
        <v>23</v>
      </c>
      <c r="E87" s="4" t="n">
        <v>0.15</v>
      </c>
      <c r="F87" s="4" t="s">
        <v>53</v>
      </c>
      <c r="G87" s="4" t="n">
        <v>9</v>
      </c>
      <c r="H87" s="4"/>
      <c r="I87" s="4" t="n">
        <v>0</v>
      </c>
      <c r="J87" s="4"/>
      <c r="K87" s="4" t="n">
        <v>0</v>
      </c>
      <c r="L87" s="24" t="n">
        <f aca="false">D87*(1+0.75*(IFERROR(G87*INDEX(Calculator!$E$6:$E$23,MATCH(F87,Calculator!$A$6:$A$23,0)),0)+IFERROR(I87*INDEX(Calculator!$E$6:$E$23,MATCH(H87,Calculator!$A$6:$A$23,0)),0)+IFERROR(K87*INDEX(Calculator!$E$6:$E$23,MATCH(J87,Calculator!$A$6:$A$23,0)),0))*(1+Constants!$B$23*Calculator!$C$27)/1000)*(1+Calculator!$C$45+Calculator!$C$37)*Calculator!$C$39*(1-(1-MIN(Calculator!$C$44,MIN(1,E87+Calculator!$E$6/10*Constants!$B$16+Calculator!$C$36+Calculator!$C$40+Constants!$B$24*Calculator!$C$27)))*Constants!$B$6)</f>
        <v>22.92042</v>
      </c>
    </row>
    <row r="88" customFormat="false" ht="15" hidden="false" customHeight="false" outlineLevel="0" collapsed="false">
      <c r="A88" s="4" t="s">
        <v>2819</v>
      </c>
      <c r="B88" s="4" t="s">
        <v>2726</v>
      </c>
      <c r="C88" s="4" t="s">
        <v>2820</v>
      </c>
      <c r="D88" s="4" t="n">
        <v>15</v>
      </c>
      <c r="E88" s="4" t="n">
        <v>0</v>
      </c>
      <c r="F88" s="4" t="s">
        <v>57</v>
      </c>
      <c r="G88" s="4" t="n">
        <v>9.5</v>
      </c>
      <c r="H88" s="4"/>
      <c r="I88" s="4" t="n">
        <v>0</v>
      </c>
      <c r="J88" s="4"/>
      <c r="K88" s="4" t="n">
        <v>0</v>
      </c>
      <c r="L88" s="24" t="n">
        <f aca="false">D88*(1+0.75*(IFERROR(G88*INDEX(Calculator!$E$6:$E$23,MATCH(F88,Calculator!$A$6:$A$23,0)),0)+IFERROR(I88*INDEX(Calculator!$E$6:$E$23,MATCH(H88,Calculator!$A$6:$A$23,0)),0)+IFERROR(K88*INDEX(Calculator!$E$6:$E$23,MATCH(J88,Calculator!$A$6:$A$23,0)),0))*(1+Constants!$B$23*Calculator!$C$27)/1000)*(1+Calculator!$C$45+Calculator!$C$37)*Calculator!$C$39*(1-(1-MIN(Calculator!$C$44,MIN(1,E88+Calculator!$E$6/10*Constants!$B$16+Calculator!$C$36+Calculator!$C$40+Constants!$B$24*Calculator!$C$27)))*Constants!$B$6)</f>
        <v>14.087475</v>
      </c>
    </row>
    <row r="89" customFormat="false" ht="15" hidden="false" customHeight="false" outlineLevel="0" collapsed="false">
      <c r="A89" s="4" t="s">
        <v>2821</v>
      </c>
      <c r="B89" s="4" t="s">
        <v>2718</v>
      </c>
      <c r="C89" s="4" t="s">
        <v>2822</v>
      </c>
      <c r="D89" s="4" t="n">
        <v>14.5</v>
      </c>
      <c r="E89" s="4" t="n">
        <v>0</v>
      </c>
      <c r="F89" s="4" t="s">
        <v>57</v>
      </c>
      <c r="G89" s="4" t="n">
        <v>8</v>
      </c>
      <c r="H89" s="4"/>
      <c r="I89" s="4" t="n">
        <v>0</v>
      </c>
      <c r="J89" s="4"/>
      <c r="K89" s="4" t="n">
        <v>0</v>
      </c>
      <c r="L89" s="24" t="n">
        <f aca="false">D89*(1+0.75*(IFERROR(G89*INDEX(Calculator!$E$6:$E$23,MATCH(F89,Calculator!$A$6:$A$23,0)),0)+IFERROR(I89*INDEX(Calculator!$E$6:$E$23,MATCH(H89,Calculator!$A$6:$A$23,0)),0)+IFERROR(K89*INDEX(Calculator!$E$6:$E$23,MATCH(J89,Calculator!$A$6:$A$23,0)),0))*(1+Constants!$B$23*Calculator!$C$27)/1000)*(1+Calculator!$C$45+Calculator!$C$37)*Calculator!$C$39*(1-(1-MIN(Calculator!$C$44,MIN(1,E89+Calculator!$E$6/10*Constants!$B$16+Calculator!$C$36+Calculator!$C$40+Constants!$B$24*Calculator!$C$27)))*Constants!$B$6)</f>
        <v>13.6178925</v>
      </c>
    </row>
    <row r="90" customFormat="false" ht="15" hidden="false" customHeight="false" outlineLevel="0" collapsed="false">
      <c r="A90" s="4" t="s">
        <v>2823</v>
      </c>
      <c r="B90" s="4" t="s">
        <v>2729</v>
      </c>
      <c r="C90" s="4" t="s">
        <v>1618</v>
      </c>
      <c r="D90" s="4" t="n">
        <v>15</v>
      </c>
      <c r="E90" s="4" t="n">
        <v>0.2</v>
      </c>
      <c r="F90" s="4" t="s">
        <v>57</v>
      </c>
      <c r="G90" s="4" t="n">
        <v>8</v>
      </c>
      <c r="H90" s="4"/>
      <c r="I90" s="4" t="n">
        <v>0</v>
      </c>
      <c r="J90" s="4"/>
      <c r="K90" s="4" t="n">
        <v>0</v>
      </c>
      <c r="L90" s="24" t="n">
        <f aca="false">D90*(1+0.75*(IFERROR(G90*INDEX(Calculator!$E$6:$E$23,MATCH(F90,Calculator!$A$6:$A$23,0)),0)+IFERROR(I90*INDEX(Calculator!$E$6:$E$23,MATCH(H90,Calculator!$A$6:$A$23,0)),0)+IFERROR(K90*INDEX(Calculator!$E$6:$E$23,MATCH(J90,Calculator!$A$6:$A$23,0)),0))*(1+Constants!$B$23*Calculator!$C$27)/1000)*(1+Calculator!$C$45+Calculator!$C$37)*Calculator!$C$39*(1-(1-MIN(Calculator!$C$44,MIN(1,E90+Calculator!$E$6/10*Constants!$B$16+Calculator!$C$36+Calculator!$C$40+Constants!$B$24*Calculator!$C$27)))*Constants!$B$6)</f>
        <v>15.234975</v>
      </c>
    </row>
    <row r="91" customFormat="false" ht="15" hidden="false" customHeight="false" outlineLevel="0" collapsed="false">
      <c r="A91" s="4" t="s">
        <v>2824</v>
      </c>
      <c r="B91" s="4" t="s">
        <v>2693</v>
      </c>
      <c r="C91" s="4" t="s">
        <v>2825</v>
      </c>
      <c r="D91" s="4" t="n">
        <v>24</v>
      </c>
      <c r="E91" s="4" t="n">
        <v>0</v>
      </c>
      <c r="F91" s="4" t="s">
        <v>53</v>
      </c>
      <c r="G91" s="4" t="n">
        <v>4</v>
      </c>
      <c r="H91" s="4" t="s">
        <v>61</v>
      </c>
      <c r="I91" s="4" t="n">
        <v>6</v>
      </c>
      <c r="J91" s="4"/>
      <c r="K91" s="4" t="n">
        <v>0</v>
      </c>
      <c r="L91" s="24" t="n">
        <f aca="false">D91*(1+0.75*(IFERROR(G91*INDEX(Calculator!$E$6:$E$23,MATCH(F91,Calculator!$A$6:$A$23,0)),0)+IFERROR(I91*INDEX(Calculator!$E$6:$E$23,MATCH(H91,Calculator!$A$6:$A$23,0)),0)+IFERROR(K91*INDEX(Calculator!$E$6:$E$23,MATCH(J91,Calculator!$A$6:$A$23,0)),0))*(1+Constants!$B$23*Calculator!$C$27)/1000)*(1+Calculator!$C$45+Calculator!$C$37)*Calculator!$C$39*(1-(1-MIN(Calculator!$C$44,MIN(1,E91+Calculator!$E$6/10*Constants!$B$16+Calculator!$C$36+Calculator!$C$40+Constants!$B$24*Calculator!$C$27)))*Constants!$B$6)</f>
        <v>22.53996</v>
      </c>
    </row>
    <row r="92" customFormat="false" ht="15" hidden="false" customHeight="false" outlineLevel="0" collapsed="false">
      <c r="A92" s="4" t="s">
        <v>2826</v>
      </c>
      <c r="B92" s="4" t="s">
        <v>2706</v>
      </c>
      <c r="C92" s="4" t="s">
        <v>2790</v>
      </c>
      <c r="D92" s="4" t="n">
        <v>25</v>
      </c>
      <c r="E92" s="4" t="n">
        <v>0.05</v>
      </c>
      <c r="F92" s="4" t="s">
        <v>53</v>
      </c>
      <c r="G92" s="4" t="n">
        <v>8.3</v>
      </c>
      <c r="H92" s="4"/>
      <c r="I92" s="4" t="n">
        <v>0</v>
      </c>
      <c r="J92" s="4"/>
      <c r="K92" s="4" t="n">
        <v>0</v>
      </c>
      <c r="L92" s="24" t="n">
        <f aca="false">D92*(1+0.75*(IFERROR(G92*INDEX(Calculator!$E$6:$E$23,MATCH(F92,Calculator!$A$6:$A$23,0)),0)+IFERROR(I92*INDEX(Calculator!$E$6:$E$23,MATCH(H92,Calculator!$A$6:$A$23,0)),0)+IFERROR(K92*INDEX(Calculator!$E$6:$E$23,MATCH(J92,Calculator!$A$6:$A$23,0)),0))*(1+Constants!$B$23*Calculator!$C$27)/1000)*(1+Calculator!$C$45+Calculator!$C$37)*Calculator!$C$39*(1-(1-MIN(Calculator!$C$44,MIN(1,E92+Calculator!$E$6/10*Constants!$B$16+Calculator!$C$36+Calculator!$C$40+Constants!$B$24*Calculator!$C$27)))*Constants!$B$6)</f>
        <v>23.95725</v>
      </c>
    </row>
    <row r="93" customFormat="false" ht="15" hidden="false" customHeight="false" outlineLevel="0" collapsed="false">
      <c r="A93" s="4" t="s">
        <v>2827</v>
      </c>
      <c r="B93" s="4" t="s">
        <v>2690</v>
      </c>
      <c r="C93" s="4" t="s">
        <v>2801</v>
      </c>
      <c r="D93" s="4" t="n">
        <v>18</v>
      </c>
      <c r="E93" s="4" t="n">
        <v>0</v>
      </c>
      <c r="F93" s="4" t="s">
        <v>55</v>
      </c>
      <c r="G93" s="4" t="n">
        <v>4</v>
      </c>
      <c r="H93" s="4"/>
      <c r="I93" s="4" t="n">
        <v>0</v>
      </c>
      <c r="J93" s="4"/>
      <c r="K93" s="4" t="n">
        <v>0</v>
      </c>
      <c r="L93" s="24" t="n">
        <f aca="false">D93*(1+0.75*(IFERROR(G93*INDEX(Calculator!$E$6:$E$23,MATCH(F93,Calculator!$A$6:$A$23,0)),0)+IFERROR(I93*INDEX(Calculator!$E$6:$E$23,MATCH(H93,Calculator!$A$6:$A$23,0)),0)+IFERROR(K93*INDEX(Calculator!$E$6:$E$23,MATCH(J93,Calculator!$A$6:$A$23,0)),0))*(1+Constants!$B$23*Calculator!$C$27)/1000)*(1+Calculator!$C$45+Calculator!$C$37)*Calculator!$C$39*(1-(1-MIN(Calculator!$C$44,MIN(1,E93+Calculator!$E$6/10*Constants!$B$16+Calculator!$C$36+Calculator!$C$40+Constants!$B$24*Calculator!$C$27)))*Constants!$B$6)</f>
        <v>22.7838423672</v>
      </c>
    </row>
    <row r="94" customFormat="false" ht="15" hidden="false" customHeight="false" outlineLevel="0" collapsed="false">
      <c r="A94" s="4" t="s">
        <v>2828</v>
      </c>
      <c r="B94" s="4" t="s">
        <v>2829</v>
      </c>
      <c r="C94" s="4" t="s">
        <v>2830</v>
      </c>
      <c r="D94" s="4" t="n">
        <v>14</v>
      </c>
      <c r="E94" s="4" t="n">
        <v>0.1</v>
      </c>
      <c r="F94" s="4" t="s">
        <v>55</v>
      </c>
      <c r="G94" s="4" t="n">
        <v>10</v>
      </c>
      <c r="H94" s="4" t="s">
        <v>73</v>
      </c>
      <c r="I94" s="4" t="n">
        <v>3</v>
      </c>
      <c r="J94" s="4"/>
      <c r="K94" s="4" t="n">
        <v>0</v>
      </c>
      <c r="L94" s="24" t="n">
        <f aca="false">D94*(1+0.75*(IFERROR(G94*INDEX(Calculator!$E$6:$E$23,MATCH(F94,Calculator!$A$6:$A$23,0)),0)+IFERROR(I94*INDEX(Calculator!$E$6:$E$23,MATCH(H94,Calculator!$A$6:$A$23,0)),0)+IFERROR(K94*INDEX(Calculator!$E$6:$E$23,MATCH(J94,Calculator!$A$6:$A$23,0)),0))*(1+Constants!$B$23*Calculator!$C$27)/1000)*(1+Calculator!$C$45+Calculator!$C$37)*Calculator!$C$39*(1-(1-MIN(Calculator!$C$44,MIN(1,E94+Calculator!$E$6/10*Constants!$B$16+Calculator!$C$36+Calculator!$C$40+Constants!$B$24*Calculator!$C$27)))*Constants!$B$6)</f>
        <v>26.55035444775</v>
      </c>
    </row>
    <row r="95" customFormat="false" ht="15" hidden="false" customHeight="false" outlineLevel="0" collapsed="false">
      <c r="A95" s="4" t="s">
        <v>2831</v>
      </c>
      <c r="B95" s="4" t="s">
        <v>2700</v>
      </c>
      <c r="C95" s="4" t="s">
        <v>2832</v>
      </c>
      <c r="D95" s="4" t="n">
        <v>22</v>
      </c>
      <c r="E95" s="4" t="n">
        <v>0.15</v>
      </c>
      <c r="F95" s="4" t="s">
        <v>53</v>
      </c>
      <c r="G95" s="4" t="n">
        <v>7.5</v>
      </c>
      <c r="H95" s="4" t="s">
        <v>61</v>
      </c>
      <c r="I95" s="4" t="n">
        <v>4</v>
      </c>
      <c r="J95" s="4"/>
      <c r="K95" s="4" t="n">
        <v>0</v>
      </c>
      <c r="L95" s="24" t="n">
        <f aca="false">D95*(1+0.75*(IFERROR(G95*INDEX(Calculator!$E$6:$E$23,MATCH(F95,Calculator!$A$6:$A$23,0)),0)+IFERROR(I95*INDEX(Calculator!$E$6:$E$23,MATCH(H95,Calculator!$A$6:$A$23,0)),0)+IFERROR(K95*INDEX(Calculator!$E$6:$E$23,MATCH(J95,Calculator!$A$6:$A$23,0)),0))*(1+Constants!$B$23*Calculator!$C$27)/1000)*(1+Calculator!$C$45+Calculator!$C$37)*Calculator!$C$39*(1-(1-MIN(Calculator!$C$44,MIN(1,E95+Calculator!$E$6/10*Constants!$B$16+Calculator!$C$36+Calculator!$C$40+Constants!$B$24*Calculator!$C$27)))*Constants!$B$6)</f>
        <v>21.92388</v>
      </c>
    </row>
    <row r="96" customFormat="false" ht="15" hidden="false" customHeight="false" outlineLevel="0" collapsed="false">
      <c r="A96" s="4" t="s">
        <v>2833</v>
      </c>
      <c r="B96" s="4" t="s">
        <v>2693</v>
      </c>
      <c r="C96" s="4" t="s">
        <v>2834</v>
      </c>
      <c r="D96" s="4" t="n">
        <v>22</v>
      </c>
      <c r="E96" s="4" t="n">
        <v>0</v>
      </c>
      <c r="F96" s="4" t="s">
        <v>53</v>
      </c>
      <c r="G96" s="4" t="n">
        <v>7</v>
      </c>
      <c r="H96" s="4"/>
      <c r="I96" s="4" t="n">
        <v>0</v>
      </c>
      <c r="J96" s="4"/>
      <c r="K96" s="4" t="n">
        <v>0</v>
      </c>
      <c r="L96" s="24" t="n">
        <f aca="false">D96*(1+0.75*(IFERROR(G96*INDEX(Calculator!$E$6:$E$23,MATCH(F96,Calculator!$A$6:$A$23,0)),0)+IFERROR(I96*INDEX(Calculator!$E$6:$E$23,MATCH(H96,Calculator!$A$6:$A$23,0)),0)+IFERROR(K96*INDEX(Calculator!$E$6:$E$23,MATCH(J96,Calculator!$A$6:$A$23,0)),0))*(1+Constants!$B$23*Calculator!$C$27)/1000)*(1+Calculator!$C$45+Calculator!$C$37)*Calculator!$C$39*(1-(1-MIN(Calculator!$C$44,MIN(1,E96+Calculator!$E$6/10*Constants!$B$16+Calculator!$C$36+Calculator!$C$40+Constants!$B$24*Calculator!$C$27)))*Constants!$B$6)</f>
        <v>20.66163</v>
      </c>
    </row>
    <row r="97" customFormat="false" ht="15" hidden="false" customHeight="false" outlineLevel="0" collapsed="false">
      <c r="A97" s="4" t="s">
        <v>2835</v>
      </c>
      <c r="B97" s="4" t="s">
        <v>2698</v>
      </c>
      <c r="C97" s="4" t="s">
        <v>1712</v>
      </c>
      <c r="D97" s="4" t="n">
        <v>19</v>
      </c>
      <c r="E97" s="4" t="n">
        <v>0.25</v>
      </c>
      <c r="F97" s="4" t="s">
        <v>55</v>
      </c>
      <c r="G97" s="4" t="n">
        <v>7</v>
      </c>
      <c r="H97" s="4"/>
      <c r="I97" s="4" t="n">
        <v>0</v>
      </c>
      <c r="J97" s="4"/>
      <c r="K97" s="4" t="n">
        <v>0</v>
      </c>
      <c r="L97" s="24" t="n">
        <f aca="false">D97*(1+0.75*(IFERROR(G97*INDEX(Calculator!$E$6:$E$23,MATCH(F97,Calculator!$A$6:$A$23,0)),0)+IFERROR(I97*INDEX(Calculator!$E$6:$E$23,MATCH(H97,Calculator!$A$6:$A$23,0)),0)+IFERROR(K97*INDEX(Calculator!$E$6:$E$23,MATCH(J97,Calculator!$A$6:$A$23,0)),0))*(1+Constants!$B$23*Calculator!$C$27)/1000)*(1+Calculator!$C$45+Calculator!$C$37)*Calculator!$C$39*(1-(1-MIN(Calculator!$C$44,MIN(1,E97+Calculator!$E$6/10*Constants!$B$16+Calculator!$C$36+Calculator!$C$40+Constants!$B$24*Calculator!$C$27)))*Constants!$B$6)</f>
        <v>31.6263074658</v>
      </c>
    </row>
    <row r="98" customFormat="false" ht="15" hidden="false" customHeight="false" outlineLevel="0" collapsed="false">
      <c r="A98" s="4" t="s">
        <v>2836</v>
      </c>
      <c r="B98" s="4" t="s">
        <v>2698</v>
      </c>
      <c r="C98" s="4" t="s">
        <v>2837</v>
      </c>
      <c r="D98" s="4" t="n">
        <v>19</v>
      </c>
      <c r="E98" s="4" t="n">
        <v>0</v>
      </c>
      <c r="F98" s="4" t="s">
        <v>59</v>
      </c>
      <c r="G98" s="4" t="n">
        <v>5.5</v>
      </c>
      <c r="H98" s="4"/>
      <c r="I98" s="4" t="n">
        <v>0</v>
      </c>
      <c r="J98" s="4"/>
      <c r="K98" s="4" t="n">
        <v>0</v>
      </c>
      <c r="L98" s="24" t="n">
        <f aca="false">D98*(1+0.75*(IFERROR(G98*INDEX(Calculator!$E$6:$E$23,MATCH(F98,Calculator!$A$6:$A$23,0)),0)+IFERROR(I98*INDEX(Calculator!$E$6:$E$23,MATCH(H98,Calculator!$A$6:$A$23,0)),0)+IFERROR(K98*INDEX(Calculator!$E$6:$E$23,MATCH(J98,Calculator!$A$6:$A$23,0)),0))*(1+Constants!$B$23*Calculator!$C$27)/1000)*(1+Calculator!$C$45+Calculator!$C$37)*Calculator!$C$39*(1-(1-MIN(Calculator!$C$44,MIN(1,E98+Calculator!$E$6/10*Constants!$B$16+Calculator!$C$36+Calculator!$C$40+Constants!$B$24*Calculator!$C$27)))*Constants!$B$6)</f>
        <v>17.844135</v>
      </c>
    </row>
    <row r="99" customFormat="false" ht="15" hidden="false" customHeight="false" outlineLevel="0" collapsed="false">
      <c r="A99" s="4" t="s">
        <v>2838</v>
      </c>
      <c r="B99" s="4" t="s">
        <v>2698</v>
      </c>
      <c r="C99" s="4" t="s">
        <v>2839</v>
      </c>
      <c r="D99" s="4" t="n">
        <v>19</v>
      </c>
      <c r="E99" s="4" t="n">
        <v>0</v>
      </c>
      <c r="F99" s="4" t="s">
        <v>61</v>
      </c>
      <c r="G99" s="4" t="n">
        <v>5.5</v>
      </c>
      <c r="H99" s="4"/>
      <c r="I99" s="4" t="n">
        <v>0</v>
      </c>
      <c r="J99" s="4"/>
      <c r="K99" s="4" t="n">
        <v>0</v>
      </c>
      <c r="L99" s="24" t="n">
        <f aca="false">D99*(1+0.75*(IFERROR(G99*INDEX(Calculator!$E$6:$E$23,MATCH(F99,Calculator!$A$6:$A$23,0)),0)+IFERROR(I99*INDEX(Calculator!$E$6:$E$23,MATCH(H99,Calculator!$A$6:$A$23,0)),0)+IFERROR(K99*INDEX(Calculator!$E$6:$E$23,MATCH(J99,Calculator!$A$6:$A$23,0)),0))*(1+Constants!$B$23*Calculator!$C$27)/1000)*(1+Calculator!$C$45+Calculator!$C$37)*Calculator!$C$39*(1-(1-MIN(Calculator!$C$44,MIN(1,E99+Calculator!$E$6/10*Constants!$B$16+Calculator!$C$36+Calculator!$C$40+Constants!$B$24*Calculator!$C$27)))*Constants!$B$6)</f>
        <v>17.844135</v>
      </c>
    </row>
    <row r="100" customFormat="false" ht="15" hidden="false" customHeight="false" outlineLevel="0" collapsed="false">
      <c r="A100" s="4" t="s">
        <v>2840</v>
      </c>
      <c r="B100" s="4" t="s">
        <v>2698</v>
      </c>
      <c r="C100" s="4" t="s">
        <v>2841</v>
      </c>
      <c r="D100" s="4" t="n">
        <v>19</v>
      </c>
      <c r="E100" s="4" t="n">
        <v>0</v>
      </c>
      <c r="F100" s="4" t="s">
        <v>63</v>
      </c>
      <c r="G100" s="4" t="n">
        <v>5.5</v>
      </c>
      <c r="H100" s="4"/>
      <c r="I100" s="4" t="n">
        <v>0</v>
      </c>
      <c r="J100" s="4"/>
      <c r="K100" s="4" t="n">
        <v>0</v>
      </c>
      <c r="L100" s="24" t="n">
        <f aca="false">D100*(1+0.75*(IFERROR(G100*INDEX(Calculator!$E$6:$E$23,MATCH(F100,Calculator!$A$6:$A$23,0)),0)+IFERROR(I100*INDEX(Calculator!$E$6:$E$23,MATCH(H100,Calculator!$A$6:$A$23,0)),0)+IFERROR(K100*INDEX(Calculator!$E$6:$E$23,MATCH(J100,Calculator!$A$6:$A$23,0)),0))*(1+Constants!$B$23*Calculator!$C$27)/1000)*(1+Calculator!$C$45+Calculator!$C$37)*Calculator!$C$39*(1-(1-MIN(Calculator!$C$44,MIN(1,E100+Calculator!$E$6/10*Constants!$B$16+Calculator!$C$36+Calculator!$C$40+Constants!$B$24*Calculator!$C$27)))*Constants!$B$6)</f>
        <v>19.884522616575</v>
      </c>
    </row>
    <row r="101" customFormat="false" ht="15" hidden="false" customHeight="false" outlineLevel="0" collapsed="false">
      <c r="A101" s="4" t="s">
        <v>2842</v>
      </c>
      <c r="B101" s="4" t="s">
        <v>2698</v>
      </c>
      <c r="C101" s="4" t="s">
        <v>2843</v>
      </c>
      <c r="D101" s="4" t="n">
        <v>19</v>
      </c>
      <c r="E101" s="4" t="n">
        <v>0</v>
      </c>
      <c r="F101" s="4" t="s">
        <v>67</v>
      </c>
      <c r="G101" s="4" t="n">
        <v>5.5</v>
      </c>
      <c r="H101" s="4"/>
      <c r="I101" s="4" t="n">
        <v>0</v>
      </c>
      <c r="J101" s="4"/>
      <c r="K101" s="4" t="n">
        <v>0</v>
      </c>
      <c r="L101" s="24" t="n">
        <f aca="false">D101*(1+0.75*(IFERROR(G101*INDEX(Calculator!$E$6:$E$23,MATCH(F101,Calculator!$A$6:$A$23,0)),0)+IFERROR(I101*INDEX(Calculator!$E$6:$E$23,MATCH(H101,Calculator!$A$6:$A$23,0)),0)+IFERROR(K101*INDEX(Calculator!$E$6:$E$23,MATCH(J101,Calculator!$A$6:$A$23,0)),0))*(1+Constants!$B$23*Calculator!$C$27)/1000)*(1+Calculator!$C$45+Calculator!$C$37)*Calculator!$C$39*(1-(1-MIN(Calculator!$C$44,MIN(1,E101+Calculator!$E$6/10*Constants!$B$16+Calculator!$C$36+Calculator!$C$40+Constants!$B$24*Calculator!$C$27)))*Constants!$B$6)</f>
        <v>17.844135</v>
      </c>
    </row>
    <row r="102" customFormat="false" ht="15" hidden="false" customHeight="false" outlineLevel="0" collapsed="false">
      <c r="A102" s="4" t="s">
        <v>2844</v>
      </c>
      <c r="B102" s="4" t="s">
        <v>2698</v>
      </c>
      <c r="C102" s="4" t="s">
        <v>2845</v>
      </c>
      <c r="D102" s="4" t="n">
        <v>19</v>
      </c>
      <c r="E102" s="4" t="n">
        <v>0</v>
      </c>
      <c r="F102" s="4" t="s">
        <v>65</v>
      </c>
      <c r="G102" s="4" t="n">
        <v>5.5</v>
      </c>
      <c r="H102" s="4"/>
      <c r="I102" s="4" t="n">
        <v>0</v>
      </c>
      <c r="J102" s="4"/>
      <c r="K102" s="4" t="n">
        <v>0</v>
      </c>
      <c r="L102" s="24" t="n">
        <f aca="false">D102*(1+0.75*(IFERROR(G102*INDEX(Calculator!$E$6:$E$23,MATCH(F102,Calculator!$A$6:$A$23,0)),0)+IFERROR(I102*INDEX(Calculator!$E$6:$E$23,MATCH(H102,Calculator!$A$6:$A$23,0)),0)+IFERROR(K102*INDEX(Calculator!$E$6:$E$23,MATCH(J102,Calculator!$A$6:$A$23,0)),0))*(1+Constants!$B$23*Calculator!$C$27)/1000)*(1+Calculator!$C$45+Calculator!$C$37)*Calculator!$C$39*(1-(1-MIN(Calculator!$C$44,MIN(1,E102+Calculator!$E$6/10*Constants!$B$16+Calculator!$C$36+Calculator!$C$40+Constants!$B$24*Calculator!$C$27)))*Constants!$B$6)</f>
        <v>17.844135</v>
      </c>
    </row>
    <row r="103" customFormat="false" ht="15" hidden="false" customHeight="false" outlineLevel="0" collapsed="false">
      <c r="A103" s="4" t="s">
        <v>2846</v>
      </c>
      <c r="B103" s="4" t="s">
        <v>2706</v>
      </c>
      <c r="C103" s="4" t="s">
        <v>2847</v>
      </c>
      <c r="D103" s="4" t="n">
        <v>28</v>
      </c>
      <c r="E103" s="4" t="n">
        <v>0.05</v>
      </c>
      <c r="F103" s="4" t="s">
        <v>53</v>
      </c>
      <c r="G103" s="4" t="n">
        <v>10</v>
      </c>
      <c r="H103" s="4"/>
      <c r="I103" s="4" t="n">
        <v>0</v>
      </c>
      <c r="J103" s="4"/>
      <c r="K103" s="4" t="n">
        <v>0</v>
      </c>
      <c r="L103" s="24" t="n">
        <f aca="false">D103*(1+0.75*(IFERROR(G103*INDEX(Calculator!$E$6:$E$23,MATCH(F103,Calculator!$A$6:$A$23,0)),0)+IFERROR(I103*INDEX(Calculator!$E$6:$E$23,MATCH(H103,Calculator!$A$6:$A$23,0)),0)+IFERROR(K103*INDEX(Calculator!$E$6:$E$23,MATCH(J103,Calculator!$A$6:$A$23,0)),0))*(1+Constants!$B$23*Calculator!$C$27)/1000)*(1+Calculator!$C$45+Calculator!$C$37)*Calculator!$C$39*(1-(1-MIN(Calculator!$C$44,MIN(1,E103+Calculator!$E$6/10*Constants!$B$16+Calculator!$C$36+Calculator!$C$40+Constants!$B$24*Calculator!$C$27)))*Constants!$B$6)</f>
        <v>26.83212</v>
      </c>
    </row>
    <row r="104" customFormat="false" ht="15" hidden="false" customHeight="false" outlineLevel="0" collapsed="false">
      <c r="A104" s="4" t="s">
        <v>2848</v>
      </c>
      <c r="B104" s="4" t="s">
        <v>2829</v>
      </c>
      <c r="C104" s="4" t="s">
        <v>2801</v>
      </c>
      <c r="D104" s="4" t="n">
        <v>14</v>
      </c>
      <c r="E104" s="4" t="n">
        <v>0.05</v>
      </c>
      <c r="F104" s="4" t="s">
        <v>55</v>
      </c>
      <c r="G104" s="4" t="n">
        <v>7</v>
      </c>
      <c r="H104" s="4"/>
      <c r="I104" s="4" t="n">
        <v>0</v>
      </c>
      <c r="J104" s="4"/>
      <c r="K104" s="4" t="n">
        <v>0</v>
      </c>
      <c r="L104" s="24" t="n">
        <f aca="false">D104*(1+0.75*(IFERROR(G104*INDEX(Calculator!$E$6:$E$23,MATCH(F104,Calculator!$A$6:$A$23,0)),0)+IFERROR(I104*INDEX(Calculator!$E$6:$E$23,MATCH(H104,Calculator!$A$6:$A$23,0)),0)+IFERROR(K104*INDEX(Calculator!$E$6:$E$23,MATCH(J104,Calculator!$A$6:$A$23,0)),0))*(1+Constants!$B$23*Calculator!$C$27)/1000)*(1+Calculator!$C$45+Calculator!$C$37)*Calculator!$C$39*(1-(1-MIN(Calculator!$C$44,MIN(1,E104+Calculator!$E$6/10*Constants!$B$16+Calculator!$C$36+Calculator!$C$40+Constants!$B$24*Calculator!$C$27)))*Constants!$B$6)</f>
        <v>21.5808057948</v>
      </c>
    </row>
    <row r="105" customFormat="false" ht="15" hidden="false" customHeight="false" outlineLevel="0" collapsed="false">
      <c r="A105" s="4" t="s">
        <v>2849</v>
      </c>
      <c r="B105" s="4" t="s">
        <v>2729</v>
      </c>
      <c r="C105" s="4" t="s">
        <v>1269</v>
      </c>
      <c r="D105" s="4" t="n">
        <v>13</v>
      </c>
      <c r="E105" s="4" t="n">
        <v>0.1</v>
      </c>
      <c r="F105" s="4" t="s">
        <v>57</v>
      </c>
      <c r="G105" s="4" t="n">
        <v>7</v>
      </c>
      <c r="H105" s="4"/>
      <c r="I105" s="4" t="n">
        <v>0</v>
      </c>
      <c r="J105" s="4"/>
      <c r="K105" s="4" t="n">
        <v>0</v>
      </c>
      <c r="L105" s="24" t="n">
        <f aca="false">D105*(1+0.75*(IFERROR(G105*INDEX(Calculator!$E$6:$E$23,MATCH(F105,Calculator!$A$6:$A$23,0)),0)+IFERROR(I105*INDEX(Calculator!$E$6:$E$23,MATCH(H105,Calculator!$A$6:$A$23,0)),0)+IFERROR(K105*INDEX(Calculator!$E$6:$E$23,MATCH(J105,Calculator!$A$6:$A$23,0)),0))*(1+Constants!$B$23*Calculator!$C$27)/1000)*(1+Calculator!$C$45+Calculator!$C$37)*Calculator!$C$39*(1-(1-MIN(Calculator!$C$44,MIN(1,E105+Calculator!$E$6/10*Constants!$B$16+Calculator!$C$36+Calculator!$C$40+Constants!$B$24*Calculator!$C$27)))*Constants!$B$6)</f>
        <v>12.706395</v>
      </c>
    </row>
    <row r="106" customFormat="false" ht="15" hidden="false" customHeight="false" outlineLevel="0" collapsed="false">
      <c r="A106" s="4" t="s">
        <v>2850</v>
      </c>
      <c r="B106" s="4" t="s">
        <v>2698</v>
      </c>
      <c r="C106" s="4" t="s">
        <v>2851</v>
      </c>
      <c r="D106" s="4" t="n">
        <v>18</v>
      </c>
      <c r="E106" s="4" t="n">
        <v>0.1</v>
      </c>
      <c r="F106" s="4" t="s">
        <v>55</v>
      </c>
      <c r="G106" s="4" t="n">
        <v>3</v>
      </c>
      <c r="H106" s="4" t="s">
        <v>69</v>
      </c>
      <c r="I106" s="4" t="n">
        <v>4</v>
      </c>
      <c r="J106" s="4"/>
      <c r="K106" s="4" t="n">
        <v>0</v>
      </c>
      <c r="L106" s="24" t="n">
        <f aca="false">D106*(1+0.75*(IFERROR(G106*INDEX(Calculator!$E$6:$E$23,MATCH(F106,Calculator!$A$6:$A$23,0)),0)+IFERROR(I106*INDEX(Calculator!$E$6:$E$23,MATCH(H106,Calculator!$A$6:$A$23,0)),0)+IFERROR(K106*INDEX(Calculator!$E$6:$E$23,MATCH(J106,Calculator!$A$6:$A$23,0)),0))*(1+Constants!$B$23*Calculator!$C$27)/1000)*(1+Calculator!$C$45+Calculator!$C$37)*Calculator!$C$39*(1-(1-MIN(Calculator!$C$44,MIN(1,E106+Calculator!$E$6/10*Constants!$B$16+Calculator!$C$36+Calculator!$C$40+Constants!$B$24*Calculator!$C$27)))*Constants!$B$6)</f>
        <v>28.1674973394</v>
      </c>
    </row>
    <row r="107" customFormat="false" ht="15" hidden="false" customHeight="false" outlineLevel="0" collapsed="false">
      <c r="A107" s="4" t="s">
        <v>2852</v>
      </c>
      <c r="B107" s="4" t="s">
        <v>2690</v>
      </c>
      <c r="C107" s="4" t="s">
        <v>2853</v>
      </c>
      <c r="D107" s="4" t="n">
        <v>20</v>
      </c>
      <c r="E107" s="4" t="n">
        <v>0.2</v>
      </c>
      <c r="F107" s="4" t="s">
        <v>55</v>
      </c>
      <c r="G107" s="4" t="n">
        <v>2</v>
      </c>
      <c r="H107" s="4" t="s">
        <v>41</v>
      </c>
      <c r="I107" s="4" t="n">
        <v>3</v>
      </c>
      <c r="J107" s="4" t="s">
        <v>43</v>
      </c>
      <c r="K107" s="4" t="n">
        <v>4</v>
      </c>
      <c r="L107" s="24" t="n">
        <f aca="false">D107*(1+0.75*(IFERROR(G107*INDEX(Calculator!$E$6:$E$23,MATCH(F107,Calculator!$A$6:$A$23,0)),0)+IFERROR(I107*INDEX(Calculator!$E$6:$E$23,MATCH(H107,Calculator!$A$6:$A$23,0)),0)+IFERROR(K107*INDEX(Calculator!$E$6:$E$23,MATCH(J107,Calculator!$A$6:$A$23,0)),0))*(1+Constants!$B$23*Calculator!$C$27)/1000)*(1+Calculator!$C$45+Calculator!$C$37)*Calculator!$C$39*(1-(1-MIN(Calculator!$C$44,MIN(1,E107+Calculator!$E$6/10*Constants!$B$16+Calculator!$C$36+Calculator!$C$40+Constants!$B$24*Calculator!$C$27)))*Constants!$B$6)</f>
        <v>27.031923975</v>
      </c>
    </row>
    <row r="108" customFormat="false" ht="15" hidden="false" customHeight="false" outlineLevel="0" collapsed="false">
      <c r="A108" s="4" t="s">
        <v>2854</v>
      </c>
      <c r="B108" s="4" t="s">
        <v>2786</v>
      </c>
      <c r="C108" s="4" t="s">
        <v>2855</v>
      </c>
      <c r="D108" s="4" t="n">
        <v>20</v>
      </c>
      <c r="E108" s="4" t="n">
        <v>0.12</v>
      </c>
      <c r="F108" s="4" t="s">
        <v>55</v>
      </c>
      <c r="G108" s="4" t="n">
        <v>5</v>
      </c>
      <c r="H108" s="4" t="s">
        <v>41</v>
      </c>
      <c r="I108" s="4" t="n">
        <v>4</v>
      </c>
      <c r="J108" s="4"/>
      <c r="K108" s="4" t="n">
        <v>0</v>
      </c>
      <c r="L108" s="24" t="n">
        <f aca="false">D108*(1+0.75*(IFERROR(G108*INDEX(Calculator!$E$6:$E$23,MATCH(F108,Calculator!$A$6:$A$23,0)),0)+IFERROR(I108*INDEX(Calculator!$E$6:$E$23,MATCH(H108,Calculator!$A$6:$A$23,0)),0)+IFERROR(K108*INDEX(Calculator!$E$6:$E$23,MATCH(J108,Calculator!$A$6:$A$23,0)),0))*(1+Constants!$B$23*Calculator!$C$27)/1000)*(1+Calculator!$C$45+Calculator!$C$37)*Calculator!$C$39*(1-(1-MIN(Calculator!$C$44,MIN(1,E108+Calculator!$E$6/10*Constants!$B$16+Calculator!$C$36+Calculator!$C$40+Constants!$B$24*Calculator!$C$27)))*Constants!$B$6)</f>
        <v>29.903815218</v>
      </c>
    </row>
    <row r="109" customFormat="false" ht="15" hidden="false" customHeight="false" outlineLevel="0" collapsed="false">
      <c r="A109" s="4" t="s">
        <v>2856</v>
      </c>
      <c r="B109" s="4" t="s">
        <v>2700</v>
      </c>
      <c r="C109" s="4" t="s">
        <v>1451</v>
      </c>
      <c r="D109" s="4" t="n">
        <v>23.5</v>
      </c>
      <c r="E109" s="4" t="n">
        <v>0</v>
      </c>
      <c r="F109" s="4" t="s">
        <v>53</v>
      </c>
      <c r="G109" s="4" t="n">
        <v>8.3</v>
      </c>
      <c r="H109" s="4"/>
      <c r="I109" s="4" t="n">
        <v>0</v>
      </c>
      <c r="J109" s="4"/>
      <c r="K109" s="4" t="n">
        <v>0</v>
      </c>
      <c r="L109" s="24" t="n">
        <f aca="false">D109*(1+0.75*(IFERROR(G109*INDEX(Calculator!$E$6:$E$23,MATCH(F109,Calculator!$A$6:$A$23,0)),0)+IFERROR(I109*INDEX(Calculator!$E$6:$E$23,MATCH(H109,Calculator!$A$6:$A$23,0)),0)+IFERROR(K109*INDEX(Calculator!$E$6:$E$23,MATCH(J109,Calculator!$A$6:$A$23,0)),0))*(1+Constants!$B$23*Calculator!$C$27)/1000)*(1+Calculator!$C$45+Calculator!$C$37)*Calculator!$C$39*(1-(1-MIN(Calculator!$C$44,MIN(1,E109+Calculator!$E$6/10*Constants!$B$16+Calculator!$C$36+Calculator!$C$40+Constants!$B$24*Calculator!$C$27)))*Constants!$B$6)</f>
        <v>22.0703775</v>
      </c>
    </row>
    <row r="110" customFormat="false" ht="15" hidden="false" customHeight="false" outlineLevel="0" collapsed="false">
      <c r="A110" s="4" t="s">
        <v>2857</v>
      </c>
      <c r="B110" s="4" t="s">
        <v>2729</v>
      </c>
      <c r="C110" s="4" t="s">
        <v>1269</v>
      </c>
      <c r="D110" s="4" t="n">
        <v>14</v>
      </c>
      <c r="E110" s="4" t="n">
        <v>0.1</v>
      </c>
      <c r="F110" s="4" t="s">
        <v>57</v>
      </c>
      <c r="G110" s="4" t="n">
        <v>7</v>
      </c>
      <c r="H110" s="4"/>
      <c r="I110" s="4" t="n">
        <v>0</v>
      </c>
      <c r="J110" s="4"/>
      <c r="K110" s="4" t="n">
        <v>0</v>
      </c>
      <c r="L110" s="24" t="n">
        <f aca="false">D110*(1+0.75*(IFERROR(G110*INDEX(Calculator!$E$6:$E$23,MATCH(F110,Calculator!$A$6:$A$23,0)),0)+IFERROR(I110*INDEX(Calculator!$E$6:$E$23,MATCH(H110,Calculator!$A$6:$A$23,0)),0)+IFERROR(K110*INDEX(Calculator!$E$6:$E$23,MATCH(J110,Calculator!$A$6:$A$23,0)),0))*(1+Constants!$B$23*Calculator!$C$27)/1000)*(1+Calculator!$C$45+Calculator!$C$37)*Calculator!$C$39*(1-(1-MIN(Calculator!$C$44,MIN(1,E110+Calculator!$E$6/10*Constants!$B$16+Calculator!$C$36+Calculator!$C$40+Constants!$B$24*Calculator!$C$27)))*Constants!$B$6)</f>
        <v>13.68381</v>
      </c>
    </row>
    <row r="111" customFormat="false" ht="15" hidden="false" customHeight="false" outlineLevel="0" collapsed="false">
      <c r="A111" s="4" t="s">
        <v>2858</v>
      </c>
      <c r="B111" s="4" t="s">
        <v>2693</v>
      </c>
      <c r="C111" s="4" t="s">
        <v>712</v>
      </c>
      <c r="D111" s="4" t="n">
        <v>26</v>
      </c>
      <c r="E111" s="4" t="n">
        <v>0</v>
      </c>
      <c r="F111" s="4" t="s">
        <v>53</v>
      </c>
      <c r="G111" s="4" t="n">
        <v>6</v>
      </c>
      <c r="H111" s="4"/>
      <c r="I111" s="4" t="n">
        <v>0</v>
      </c>
      <c r="J111" s="4"/>
      <c r="K111" s="4" t="n">
        <v>0</v>
      </c>
      <c r="L111" s="24" t="n">
        <f aca="false">D111*(1+0.75*(IFERROR(G111*INDEX(Calculator!$E$6:$E$23,MATCH(F111,Calculator!$A$6:$A$23,0)),0)+IFERROR(I111*INDEX(Calculator!$E$6:$E$23,MATCH(H111,Calculator!$A$6:$A$23,0)),0)+IFERROR(K111*INDEX(Calculator!$E$6:$E$23,MATCH(J111,Calculator!$A$6:$A$23,0)),0))*(1+Constants!$B$23*Calculator!$C$27)/1000)*(1+Calculator!$C$45+Calculator!$C$37)*Calculator!$C$39*(1-(1-MIN(Calculator!$C$44,MIN(1,E111+Calculator!$E$6/10*Constants!$B$16+Calculator!$C$36+Calculator!$C$40+Constants!$B$24*Calculator!$C$27)))*Constants!$B$6)</f>
        <v>24.41829</v>
      </c>
    </row>
    <row r="112" customFormat="false" ht="15" hidden="false" customHeight="false" outlineLevel="0" collapsed="false">
      <c r="A112" s="4" t="s">
        <v>2859</v>
      </c>
      <c r="B112" s="4" t="s">
        <v>2860</v>
      </c>
      <c r="C112" s="4" t="s">
        <v>1712</v>
      </c>
      <c r="D112" s="4" t="n">
        <v>20</v>
      </c>
      <c r="E112" s="4" t="n">
        <v>0.1</v>
      </c>
      <c r="F112" s="4" t="s">
        <v>55</v>
      </c>
      <c r="G112" s="4" t="n">
        <v>7</v>
      </c>
      <c r="H112" s="4"/>
      <c r="I112" s="4" t="n">
        <v>0</v>
      </c>
      <c r="J112" s="4"/>
      <c r="K112" s="4" t="n">
        <v>0</v>
      </c>
      <c r="L112" s="24" t="n">
        <f aca="false">D112*(1+0.75*(IFERROR(G112*INDEX(Calculator!$E$6:$E$23,MATCH(F112,Calculator!$A$6:$A$23,0)),0)+IFERROR(I112*INDEX(Calculator!$E$6:$E$23,MATCH(H112,Calculator!$A$6:$A$23,0)),0)+IFERROR(K112*INDEX(Calculator!$E$6:$E$23,MATCH(J112,Calculator!$A$6:$A$23,0)),0))*(1+Constants!$B$23*Calculator!$C$27)/1000)*(1+Calculator!$C$45+Calculator!$C$37)*Calculator!$C$39*(1-(1-MIN(Calculator!$C$44,MIN(1,E112+Calculator!$E$6/10*Constants!$B$16+Calculator!$C$36+Calculator!$C$40+Constants!$B$24*Calculator!$C$27)))*Constants!$B$6)</f>
        <v>31.445004414</v>
      </c>
    </row>
    <row r="113" customFormat="false" ht="15" hidden="false" customHeight="false" outlineLevel="0" collapsed="false">
      <c r="A113" s="4" t="s">
        <v>2861</v>
      </c>
      <c r="B113" s="4" t="s">
        <v>2726</v>
      </c>
      <c r="C113" s="4" t="s">
        <v>585</v>
      </c>
      <c r="D113" s="4" t="n">
        <v>13.5</v>
      </c>
      <c r="E113" s="4" t="n">
        <v>0</v>
      </c>
      <c r="F113" s="4" t="s">
        <v>57</v>
      </c>
      <c r="G113" s="4" t="n">
        <v>7.5</v>
      </c>
      <c r="H113" s="4"/>
      <c r="I113" s="4" t="n">
        <v>0</v>
      </c>
      <c r="J113" s="4"/>
      <c r="K113" s="4" t="n">
        <v>0</v>
      </c>
      <c r="L113" s="24" t="n">
        <f aca="false">D113*(1+0.75*(IFERROR(G113*INDEX(Calculator!$E$6:$E$23,MATCH(F113,Calculator!$A$6:$A$23,0)),0)+IFERROR(I113*INDEX(Calculator!$E$6:$E$23,MATCH(H113,Calculator!$A$6:$A$23,0)),0)+IFERROR(K113*INDEX(Calculator!$E$6:$E$23,MATCH(J113,Calculator!$A$6:$A$23,0)),0))*(1+Constants!$B$23*Calculator!$C$27)/1000)*(1+Calculator!$C$45+Calculator!$C$37)*Calculator!$C$39*(1-(1-MIN(Calculator!$C$44,MIN(1,E113+Calculator!$E$6/10*Constants!$B$16+Calculator!$C$36+Calculator!$C$40+Constants!$B$24*Calculator!$C$27)))*Constants!$B$6)</f>
        <v>12.6787275</v>
      </c>
    </row>
    <row r="114" customFormat="false" ht="15" hidden="false" customHeight="false" outlineLevel="0" collapsed="false">
      <c r="A114" s="4" t="s">
        <v>2862</v>
      </c>
      <c r="B114" s="4" t="s">
        <v>2703</v>
      </c>
      <c r="C114" s="4" t="s">
        <v>2863</v>
      </c>
      <c r="D114" s="4" t="n">
        <v>21</v>
      </c>
      <c r="E114" s="4" t="n">
        <v>0</v>
      </c>
      <c r="F114" s="4" t="s">
        <v>57</v>
      </c>
      <c r="G114" s="4" t="n">
        <v>3</v>
      </c>
      <c r="H114" s="4" t="s">
        <v>69</v>
      </c>
      <c r="I114" s="4" t="n">
        <v>4</v>
      </c>
      <c r="J114" s="4"/>
      <c r="K114" s="4" t="n">
        <v>0</v>
      </c>
      <c r="L114" s="24" t="n">
        <f aca="false">D114*(1+0.75*(IFERROR(G114*INDEX(Calculator!$E$6:$E$23,MATCH(F114,Calculator!$A$6:$A$23,0)),0)+IFERROR(I114*INDEX(Calculator!$E$6:$E$23,MATCH(H114,Calculator!$A$6:$A$23,0)),0)+IFERROR(K114*INDEX(Calculator!$E$6:$E$23,MATCH(J114,Calculator!$A$6:$A$23,0)),0))*(1+Constants!$B$23*Calculator!$C$27)/1000)*(1+Calculator!$C$45+Calculator!$C$37)*Calculator!$C$39*(1-(1-MIN(Calculator!$C$44,MIN(1,E114+Calculator!$E$6/10*Constants!$B$16+Calculator!$C$36+Calculator!$C$40+Constants!$B$24*Calculator!$C$27)))*Constants!$B$6)</f>
        <v>26.432047593</v>
      </c>
    </row>
    <row r="115" customFormat="false" ht="15" hidden="false" customHeight="false" outlineLevel="0" collapsed="false">
      <c r="A115" s="4" t="s">
        <v>2864</v>
      </c>
      <c r="B115" s="4" t="s">
        <v>2690</v>
      </c>
      <c r="C115" s="4" t="s">
        <v>585</v>
      </c>
      <c r="D115" s="4" t="n">
        <v>17</v>
      </c>
      <c r="E115" s="4" t="n">
        <v>0</v>
      </c>
      <c r="F115" s="4" t="s">
        <v>55</v>
      </c>
      <c r="G115" s="4" t="n">
        <v>2.5</v>
      </c>
      <c r="H115" s="4"/>
      <c r="I115" s="4" t="n">
        <v>0</v>
      </c>
      <c r="J115" s="4"/>
      <c r="K115" s="4" t="n">
        <v>0</v>
      </c>
      <c r="L115" s="24" t="n">
        <f aca="false">D115*(1+0.75*(IFERROR(G115*INDEX(Calculator!$E$6:$E$23,MATCH(F115,Calculator!$A$6:$A$23,0)),0)+IFERROR(I115*INDEX(Calculator!$E$6:$E$23,MATCH(H115,Calculator!$A$6:$A$23,0)),0)+IFERROR(K115*INDEX(Calculator!$E$6:$E$23,MATCH(J115,Calculator!$A$6:$A$23,0)),0))*(1+Constants!$B$23*Calculator!$C$27)/1000)*(1+Calculator!$C$45+Calculator!$C$37)*Calculator!$C$39*(1-(1-MIN(Calculator!$C$44,MIN(1,E115+Calculator!$E$6/10*Constants!$B$16+Calculator!$C$36+Calculator!$C$40+Constants!$B$24*Calculator!$C$27)))*Constants!$B$6)</f>
        <v>19.43597271675</v>
      </c>
    </row>
    <row r="116" customFormat="false" ht="15" hidden="false" customHeight="false" outlineLevel="0" collapsed="false">
      <c r="A116" s="4" t="s">
        <v>2865</v>
      </c>
      <c r="B116" s="4" t="s">
        <v>1190</v>
      </c>
      <c r="C116" s="4" t="s">
        <v>2866</v>
      </c>
      <c r="D116" s="4" t="n">
        <v>15</v>
      </c>
      <c r="E116" s="4" t="n">
        <v>0</v>
      </c>
      <c r="F116" s="4" t="s">
        <v>55</v>
      </c>
      <c r="G116" s="4" t="n">
        <v>4</v>
      </c>
      <c r="H116" s="4"/>
      <c r="I116" s="4" t="n">
        <v>0</v>
      </c>
      <c r="J116" s="4"/>
      <c r="K116" s="4" t="n">
        <v>0</v>
      </c>
      <c r="L116" s="24" t="n">
        <f aca="false">D116*(1+0.75*(IFERROR(G116*INDEX(Calculator!$E$6:$E$23,MATCH(F116,Calculator!$A$6:$A$23,0)),0)+IFERROR(I116*INDEX(Calculator!$E$6:$E$23,MATCH(H116,Calculator!$A$6:$A$23,0)),0)+IFERROR(K116*INDEX(Calculator!$E$6:$E$23,MATCH(J116,Calculator!$A$6:$A$23,0)),0))*(1+Constants!$B$23*Calculator!$C$27)/1000)*(1+Calculator!$C$45+Calculator!$C$37)*Calculator!$C$39*(1-(1-MIN(Calculator!$C$44,MIN(1,E116+Calculator!$E$6/10*Constants!$B$16+Calculator!$C$36+Calculator!$C$40+Constants!$B$24*Calculator!$C$27)))*Constants!$B$6)</f>
        <v>18.986535306</v>
      </c>
    </row>
    <row r="117" customFormat="false" ht="15" hidden="false" customHeight="false" outlineLevel="0" collapsed="false">
      <c r="A117" s="4" t="s">
        <v>2867</v>
      </c>
      <c r="B117" s="4" t="s">
        <v>2690</v>
      </c>
      <c r="C117" s="4" t="s">
        <v>585</v>
      </c>
      <c r="D117" s="4" t="n">
        <v>16.5</v>
      </c>
      <c r="E117" s="4" t="n">
        <v>0.1</v>
      </c>
      <c r="F117" s="4" t="s">
        <v>55</v>
      </c>
      <c r="G117" s="4" t="n">
        <v>3</v>
      </c>
      <c r="H117" s="4"/>
      <c r="I117" s="4" t="n">
        <v>0</v>
      </c>
      <c r="J117" s="4"/>
      <c r="K117" s="4" t="n">
        <v>0</v>
      </c>
      <c r="L117" s="24" t="n">
        <f aca="false">D117*(1+0.75*(IFERROR(G117*INDEX(Calculator!$E$6:$E$23,MATCH(F117,Calculator!$A$6:$A$23,0)),0)+IFERROR(I117*INDEX(Calculator!$E$6:$E$23,MATCH(H117,Calculator!$A$6:$A$23,0)),0)+IFERROR(K117*INDEX(Calculator!$E$6:$E$23,MATCH(J117,Calculator!$A$6:$A$23,0)),0))*(1+Constants!$B$23*Calculator!$C$27)/1000)*(1+Calculator!$C$45+Calculator!$C$37)*Calculator!$C$39*(1-(1-MIN(Calculator!$C$44,MIN(1,E117+Calculator!$E$6/10*Constants!$B$16+Calculator!$C$36+Calculator!$C$40+Constants!$B$24*Calculator!$C$27)))*Constants!$B$6)</f>
        <v>20.33368227495</v>
      </c>
    </row>
    <row r="118" customFormat="false" ht="15" hidden="false" customHeight="false" outlineLevel="0" collapsed="false">
      <c r="A118" s="4" t="s">
        <v>2868</v>
      </c>
      <c r="B118" s="4" t="s">
        <v>2706</v>
      </c>
      <c r="C118" s="4" t="s">
        <v>2869</v>
      </c>
      <c r="D118" s="4" t="n">
        <v>25</v>
      </c>
      <c r="E118" s="4" t="n">
        <v>0</v>
      </c>
      <c r="F118" s="4" t="s">
        <v>53</v>
      </c>
      <c r="G118" s="4" t="n">
        <v>6</v>
      </c>
      <c r="H118" s="4" t="s">
        <v>41</v>
      </c>
      <c r="I118" s="4" t="n">
        <v>3</v>
      </c>
      <c r="J118" s="4"/>
      <c r="K118" s="4" t="n">
        <v>0</v>
      </c>
      <c r="L118" s="24" t="n">
        <f aca="false">D118*(1+0.75*(IFERROR(G118*INDEX(Calculator!$E$6:$E$23,MATCH(F118,Calculator!$A$6:$A$23,0)),0)+IFERROR(I118*INDEX(Calculator!$E$6:$E$23,MATCH(H118,Calculator!$A$6:$A$23,0)),0)+IFERROR(K118*INDEX(Calculator!$E$6:$E$23,MATCH(J118,Calculator!$A$6:$A$23,0)),0))*(1+Constants!$B$23*Calculator!$C$27)/1000)*(1+Calculator!$C$45+Calculator!$C$37)*Calculator!$C$39*(1-(1-MIN(Calculator!$C$44,MIN(1,E118+Calculator!$E$6/10*Constants!$B$16+Calculator!$C$36+Calculator!$C$40+Constants!$B$24*Calculator!$C$27)))*Constants!$B$6)</f>
        <v>24.94351802625</v>
      </c>
    </row>
    <row r="119" customFormat="false" ht="15" hidden="false" customHeight="false" outlineLevel="0" collapsed="false">
      <c r="A119" s="4" t="s">
        <v>2870</v>
      </c>
      <c r="B119" s="4" t="s">
        <v>2726</v>
      </c>
      <c r="C119" s="4" t="s">
        <v>2871</v>
      </c>
      <c r="D119" s="4" t="n">
        <v>14</v>
      </c>
      <c r="E119" s="4" t="n">
        <v>0.25</v>
      </c>
      <c r="F119" s="4" t="s">
        <v>57</v>
      </c>
      <c r="G119" s="4" t="n">
        <v>8</v>
      </c>
      <c r="H119" s="4" t="s">
        <v>45</v>
      </c>
      <c r="I119" s="4" t="n">
        <v>3</v>
      </c>
      <c r="J119" s="4"/>
      <c r="K119" s="4" t="n">
        <v>0</v>
      </c>
      <c r="L119" s="24" t="n">
        <f aca="false">D119*(1+0.75*(IFERROR(G119*INDEX(Calculator!$E$6:$E$23,MATCH(F119,Calculator!$A$6:$A$23,0)),0)+IFERROR(I119*INDEX(Calculator!$E$6:$E$23,MATCH(H119,Calculator!$A$6:$A$23,0)),0)+IFERROR(K119*INDEX(Calculator!$E$6:$E$23,MATCH(J119,Calculator!$A$6:$A$23,0)),0))*(1+Constants!$B$23*Calculator!$C$27)/1000)*(1+Calculator!$C$45+Calculator!$C$37)*Calculator!$C$39*(1-(1-MIN(Calculator!$C$44,MIN(1,E119+Calculator!$E$6/10*Constants!$B$16+Calculator!$C$36+Calculator!$C$40+Constants!$B$24*Calculator!$C$27)))*Constants!$B$6)</f>
        <v>15.3906179322</v>
      </c>
    </row>
    <row r="120" customFormat="false" ht="15" hidden="false" customHeight="false" outlineLevel="0" collapsed="false">
      <c r="A120" s="4" t="s">
        <v>2872</v>
      </c>
      <c r="B120" s="4" t="s">
        <v>2698</v>
      </c>
      <c r="C120" s="4" t="s">
        <v>2873</v>
      </c>
      <c r="D120" s="4" t="n">
        <v>18</v>
      </c>
      <c r="E120" s="4" t="n">
        <v>0</v>
      </c>
      <c r="F120" s="4" t="s">
        <v>55</v>
      </c>
      <c r="G120" s="4" t="n">
        <v>6</v>
      </c>
      <c r="H120" s="4"/>
      <c r="I120" s="4" t="n">
        <v>0</v>
      </c>
      <c r="J120" s="4"/>
      <c r="K120" s="4" t="n">
        <v>0</v>
      </c>
      <c r="L120" s="24" t="n">
        <f aca="false">D120*(1+0.75*(IFERROR(G120*INDEX(Calculator!$E$6:$E$23,MATCH(F120,Calculator!$A$6:$A$23,0)),0)+IFERROR(I120*INDEX(Calculator!$E$6:$E$23,MATCH(H120,Calculator!$A$6:$A$23,0)),0)+IFERROR(K120*INDEX(Calculator!$E$6:$E$23,MATCH(J120,Calculator!$A$6:$A$23,0)),0))*(1+Constants!$B$23*Calculator!$C$27)/1000)*(1+Calculator!$C$45+Calculator!$C$37)*Calculator!$C$39*(1-(1-MIN(Calculator!$C$44,MIN(1,E120+Calculator!$E$6/10*Constants!$B$16+Calculator!$C$36+Calculator!$C$40+Constants!$B$24*Calculator!$C$27)))*Constants!$B$6)</f>
        <v>25.7232785508</v>
      </c>
    </row>
    <row r="121" customFormat="false" ht="15" hidden="false" customHeight="false" outlineLevel="0" collapsed="false">
      <c r="A121" s="4" t="s">
        <v>2874</v>
      </c>
      <c r="B121" s="4" t="s">
        <v>2698</v>
      </c>
      <c r="C121" s="4" t="s">
        <v>2875</v>
      </c>
      <c r="D121" s="4" t="n">
        <v>17</v>
      </c>
      <c r="E121" s="4" t="n">
        <v>0.1</v>
      </c>
      <c r="F121" s="4" t="s">
        <v>55</v>
      </c>
      <c r="G121" s="4" t="n">
        <v>7</v>
      </c>
      <c r="H121" s="4" t="s">
        <v>75</v>
      </c>
      <c r="I121" s="4" t="n">
        <v>2.5</v>
      </c>
      <c r="J121" s="4"/>
      <c r="K121" s="4" t="n">
        <v>0</v>
      </c>
      <c r="L121" s="24" t="n">
        <f aca="false">D121*(1+0.75*(IFERROR(G121*INDEX(Calculator!$E$6:$E$23,MATCH(F121,Calculator!$A$6:$A$23,0)),0)+IFERROR(I121*INDEX(Calculator!$E$6:$E$23,MATCH(H121,Calculator!$A$6:$A$23,0)),0)+IFERROR(K121*INDEX(Calculator!$E$6:$E$23,MATCH(J121,Calculator!$A$6:$A$23,0)),0))*(1+Constants!$B$23*Calculator!$C$27)/1000)*(1+Calculator!$C$45+Calculator!$C$37)*Calculator!$C$39*(1-(1-MIN(Calculator!$C$44,MIN(1,E121+Calculator!$E$6/10*Constants!$B$16+Calculator!$C$36+Calculator!$C$40+Constants!$B$24*Calculator!$C$27)))*Constants!$B$6)</f>
        <v>27.7096395003375</v>
      </c>
    </row>
    <row r="122" customFormat="false" ht="15" hidden="false" customHeight="false" outlineLevel="0" collapsed="false">
      <c r="A122" s="4" t="s">
        <v>2876</v>
      </c>
      <c r="B122" s="4" t="s">
        <v>2718</v>
      </c>
      <c r="C122" s="4" t="s">
        <v>1618</v>
      </c>
      <c r="D122" s="4" t="n">
        <v>12.5</v>
      </c>
      <c r="E122" s="4" t="n">
        <v>0.2</v>
      </c>
      <c r="F122" s="4" t="s">
        <v>57</v>
      </c>
      <c r="G122" s="4" t="n">
        <v>10.5</v>
      </c>
      <c r="H122" s="4"/>
      <c r="I122" s="4" t="n">
        <v>0</v>
      </c>
      <c r="J122" s="4"/>
      <c r="K122" s="4" t="n">
        <v>0</v>
      </c>
      <c r="L122" s="24" t="n">
        <f aca="false">D122*(1+0.75*(IFERROR(G122*INDEX(Calculator!$E$6:$E$23,MATCH(F122,Calculator!$A$6:$A$23,0)),0)+IFERROR(I122*INDEX(Calculator!$E$6:$E$23,MATCH(H122,Calculator!$A$6:$A$23,0)),0)+IFERROR(K122*INDEX(Calculator!$E$6:$E$23,MATCH(J122,Calculator!$A$6:$A$23,0)),0))*(1+Constants!$B$23*Calculator!$C$27)/1000)*(1+Calculator!$C$45+Calculator!$C$37)*Calculator!$C$39*(1-(1-MIN(Calculator!$C$44,MIN(1,E122+Calculator!$E$6/10*Constants!$B$16+Calculator!$C$36+Calculator!$C$40+Constants!$B$24*Calculator!$C$27)))*Constants!$B$6)</f>
        <v>12.6958125</v>
      </c>
    </row>
    <row r="123" customFormat="false" ht="15" hidden="false" customHeight="false" outlineLevel="0" collapsed="false">
      <c r="A123" s="4" t="s">
        <v>2877</v>
      </c>
      <c r="B123" s="4" t="s">
        <v>2698</v>
      </c>
      <c r="C123" s="4" t="s">
        <v>1712</v>
      </c>
      <c r="D123" s="4" t="n">
        <v>22</v>
      </c>
      <c r="E123" s="4" t="n">
        <v>0.05</v>
      </c>
      <c r="F123" s="4" t="s">
        <v>55</v>
      </c>
      <c r="G123" s="4" t="n">
        <v>6</v>
      </c>
      <c r="H123" s="4"/>
      <c r="I123" s="4" t="n">
        <v>0</v>
      </c>
      <c r="J123" s="4"/>
      <c r="K123" s="4" t="n">
        <v>0</v>
      </c>
      <c r="L123" s="24" t="n">
        <f aca="false">D123*(1+0.75*(IFERROR(G123*INDEX(Calculator!$E$6:$E$23,MATCH(F123,Calculator!$A$6:$A$23,0)),0)+IFERROR(I123*INDEX(Calculator!$E$6:$E$23,MATCH(H123,Calculator!$A$6:$A$23,0)),0)+IFERROR(K123*INDEX(Calculator!$E$6:$E$23,MATCH(J123,Calculator!$A$6:$A$23,0)),0))*(1+Constants!$B$23*Calculator!$C$27)/1000)*(1+Calculator!$C$45+Calculator!$C$37)*Calculator!$C$39*(1-(1-MIN(Calculator!$C$44,MIN(1,E123+Calculator!$E$6/10*Constants!$B$16+Calculator!$C$36+Calculator!$C$40+Constants!$B$24*Calculator!$C$27)))*Constants!$B$6)</f>
        <v>32.0797927032</v>
      </c>
    </row>
    <row r="124" customFormat="false" ht="15" hidden="false" customHeight="false" outlineLevel="0" collapsed="false">
      <c r="A124" s="4" t="s">
        <v>2878</v>
      </c>
      <c r="B124" s="4" t="s">
        <v>2700</v>
      </c>
      <c r="C124" s="4" t="s">
        <v>1464</v>
      </c>
      <c r="D124" s="4" t="n">
        <v>23</v>
      </c>
      <c r="E124" s="4" t="n">
        <v>0</v>
      </c>
      <c r="F124" s="4" t="s">
        <v>53</v>
      </c>
      <c r="G124" s="4" t="n">
        <v>9</v>
      </c>
      <c r="H124" s="4"/>
      <c r="I124" s="4" t="n">
        <v>0</v>
      </c>
      <c r="J124" s="4"/>
      <c r="K124" s="4" t="n">
        <v>0</v>
      </c>
      <c r="L124" s="24" t="n">
        <f aca="false">D124*(1+0.75*(IFERROR(G124*INDEX(Calculator!$E$6:$E$23,MATCH(F124,Calculator!$A$6:$A$23,0)),0)+IFERROR(I124*INDEX(Calculator!$E$6:$E$23,MATCH(H124,Calculator!$A$6:$A$23,0)),0)+IFERROR(K124*INDEX(Calculator!$E$6:$E$23,MATCH(J124,Calculator!$A$6:$A$23,0)),0))*(1+Constants!$B$23*Calculator!$C$27)/1000)*(1+Calculator!$C$45+Calculator!$C$37)*Calculator!$C$39*(1-(1-MIN(Calculator!$C$44,MIN(1,E124+Calculator!$E$6/10*Constants!$B$16+Calculator!$C$36+Calculator!$C$40+Constants!$B$24*Calculator!$C$27)))*Constants!$B$6)</f>
        <v>21.600795</v>
      </c>
    </row>
    <row r="125" customFormat="false" ht="15" hidden="false" customHeight="false" outlineLevel="0" collapsed="false">
      <c r="A125" s="4" t="s">
        <v>2879</v>
      </c>
      <c r="B125" s="4" t="s">
        <v>2718</v>
      </c>
      <c r="C125" s="4" t="s">
        <v>1618</v>
      </c>
      <c r="D125" s="4" t="n">
        <v>15</v>
      </c>
      <c r="E125" s="4" t="n">
        <v>0.3</v>
      </c>
      <c r="F125" s="4" t="s">
        <v>57</v>
      </c>
      <c r="G125" s="4" t="n">
        <v>8.5</v>
      </c>
      <c r="H125" s="4"/>
      <c r="I125" s="4" t="n">
        <v>0</v>
      </c>
      <c r="J125" s="4"/>
      <c r="K125" s="4" t="n">
        <v>0</v>
      </c>
      <c r="L125" s="24" t="n">
        <f aca="false">D125*(1+0.75*(IFERROR(G125*INDEX(Calculator!$E$6:$E$23,MATCH(F125,Calculator!$A$6:$A$23,0)),0)+IFERROR(I125*INDEX(Calculator!$E$6:$E$23,MATCH(H125,Calculator!$A$6:$A$23,0)),0)+IFERROR(K125*INDEX(Calculator!$E$6:$E$23,MATCH(J125,Calculator!$A$6:$A$23,0)),0))*(1+Constants!$B$23*Calculator!$C$27)/1000)*(1+Calculator!$C$45+Calculator!$C$37)*Calculator!$C$39*(1-(1-MIN(Calculator!$C$44,MIN(1,E125+Calculator!$E$6/10*Constants!$B$16+Calculator!$C$36+Calculator!$C$40+Constants!$B$24*Calculator!$C$27)))*Constants!$B$6)</f>
        <v>15.808725</v>
      </c>
    </row>
    <row r="126" customFormat="false" ht="15" hidden="false" customHeight="false" outlineLevel="0" collapsed="false">
      <c r="A126" s="4" t="s">
        <v>2880</v>
      </c>
      <c r="B126" s="4" t="s">
        <v>2690</v>
      </c>
      <c r="C126" s="4" t="s">
        <v>1939</v>
      </c>
      <c r="D126" s="4" t="n">
        <v>19</v>
      </c>
      <c r="E126" s="4" t="n">
        <v>0.2</v>
      </c>
      <c r="F126" s="4" t="s">
        <v>55</v>
      </c>
      <c r="G126" s="4" t="n">
        <v>5</v>
      </c>
      <c r="H126" s="4"/>
      <c r="I126" s="4" t="n">
        <v>0</v>
      </c>
      <c r="J126" s="4"/>
      <c r="K126" s="4" t="n">
        <v>0</v>
      </c>
      <c r="L126" s="24" t="n">
        <f aca="false">D126*(1+0.75*(IFERROR(G126*INDEX(Calculator!$E$6:$E$23,MATCH(F126,Calculator!$A$6:$A$23,0)),0)+IFERROR(I126*INDEX(Calculator!$E$6:$E$23,MATCH(H126,Calculator!$A$6:$A$23,0)),0)+IFERROR(K126*INDEX(Calculator!$E$6:$E$23,MATCH(J126,Calculator!$A$6:$A$23,0)),0))*(1+Constants!$B$23*Calculator!$C$27)/1000)*(1+Calculator!$C$45+Calculator!$C$37)*Calculator!$C$39*(1-(1-MIN(Calculator!$C$44,MIN(1,E126+Calculator!$E$6/10*Constants!$B$16+Calculator!$C$36+Calculator!$C$40+Constants!$B$24*Calculator!$C$27)))*Constants!$B$6)</f>
        <v>27.6863169345</v>
      </c>
    </row>
    <row r="127" customFormat="false" ht="15" hidden="false" customHeight="false" outlineLevel="0" collapsed="false">
      <c r="A127" s="4" t="s">
        <v>2881</v>
      </c>
      <c r="B127" s="4" t="s">
        <v>2700</v>
      </c>
      <c r="C127" s="4" t="s">
        <v>2882</v>
      </c>
      <c r="D127" s="4" t="n">
        <v>24</v>
      </c>
      <c r="E127" s="4" t="n">
        <v>0.15</v>
      </c>
      <c r="F127" s="4" t="s">
        <v>53</v>
      </c>
      <c r="G127" s="4" t="n">
        <v>7</v>
      </c>
      <c r="H127" s="4" t="s">
        <v>51</v>
      </c>
      <c r="I127" s="4" t="n">
        <v>2</v>
      </c>
      <c r="J127" s="4"/>
      <c r="K127" s="4" t="n">
        <v>0</v>
      </c>
      <c r="L127" s="24" t="n">
        <f aca="false">D127*(1+0.75*(IFERROR(G127*INDEX(Calculator!$E$6:$E$23,MATCH(F127,Calculator!$A$6:$A$23,0)),0)+IFERROR(I127*INDEX(Calculator!$E$6:$E$23,MATCH(H127,Calculator!$A$6:$A$23,0)),0)+IFERROR(K127*INDEX(Calculator!$E$6:$E$23,MATCH(J127,Calculator!$A$6:$A$23,0)),0))*(1+Constants!$B$23*Calculator!$C$27)/1000)*(1+Calculator!$C$45+Calculator!$C$37)*Calculator!$C$39*(1-(1-MIN(Calculator!$C$44,MIN(1,E127+Calculator!$E$6/10*Constants!$B$16+Calculator!$C$36+Calculator!$C$40+Constants!$B$24*Calculator!$C$27)))*Constants!$B$6)</f>
        <v>25.04703636</v>
      </c>
    </row>
    <row r="128" customFormat="false" ht="15" hidden="false" customHeight="false" outlineLevel="0" collapsed="false">
      <c r="A128" s="4" t="s">
        <v>2883</v>
      </c>
      <c r="B128" s="4" t="s">
        <v>2729</v>
      </c>
      <c r="C128" s="4" t="s">
        <v>1618</v>
      </c>
      <c r="D128" s="4" t="n">
        <v>15</v>
      </c>
      <c r="E128" s="4" t="n">
        <v>0.3</v>
      </c>
      <c r="F128" s="4" t="s">
        <v>57</v>
      </c>
      <c r="G128" s="4" t="n">
        <v>8.5</v>
      </c>
      <c r="H128" s="4"/>
      <c r="I128" s="4" t="n">
        <v>0</v>
      </c>
      <c r="J128" s="4"/>
      <c r="K128" s="4" t="n">
        <v>0</v>
      </c>
      <c r="L128" s="24" t="n">
        <f aca="false">D128*(1+0.75*(IFERROR(G128*INDEX(Calculator!$E$6:$E$23,MATCH(F128,Calculator!$A$6:$A$23,0)),0)+IFERROR(I128*INDEX(Calculator!$E$6:$E$23,MATCH(H128,Calculator!$A$6:$A$23,0)),0)+IFERROR(K128*INDEX(Calculator!$E$6:$E$23,MATCH(J128,Calculator!$A$6:$A$23,0)),0))*(1+Constants!$B$23*Calculator!$C$27)/1000)*(1+Calculator!$C$45+Calculator!$C$37)*Calculator!$C$39*(1-(1-MIN(Calculator!$C$44,MIN(1,E128+Calculator!$E$6/10*Constants!$B$16+Calculator!$C$36+Calculator!$C$40+Constants!$B$24*Calculator!$C$27)))*Constants!$B$6)</f>
        <v>15.808725</v>
      </c>
    </row>
    <row r="129" customFormat="false" ht="15" hidden="false" customHeight="false" outlineLevel="0" collapsed="false">
      <c r="A129" s="4" t="s">
        <v>2884</v>
      </c>
      <c r="B129" s="4" t="s">
        <v>2690</v>
      </c>
      <c r="C129" s="4" t="s">
        <v>2885</v>
      </c>
      <c r="D129" s="4" t="n">
        <v>17</v>
      </c>
      <c r="E129" s="4" t="n">
        <v>0.2</v>
      </c>
      <c r="F129" s="4" t="s">
        <v>55</v>
      </c>
      <c r="G129" s="4" t="n">
        <v>5</v>
      </c>
      <c r="H129" s="4" t="s">
        <v>61</v>
      </c>
      <c r="I129" s="4" t="n">
        <v>4</v>
      </c>
      <c r="J129" s="4"/>
      <c r="K129" s="4" t="n">
        <v>0</v>
      </c>
      <c r="L129" s="24" t="n">
        <f aca="false">D129*(1+0.75*(IFERROR(G129*INDEX(Calculator!$E$6:$E$23,MATCH(F129,Calculator!$A$6:$A$23,0)),0)+IFERROR(I129*INDEX(Calculator!$E$6:$E$23,MATCH(H129,Calculator!$A$6:$A$23,0)),0)+IFERROR(K129*INDEX(Calculator!$E$6:$E$23,MATCH(J129,Calculator!$A$6:$A$23,0)),0))*(1+Constants!$B$23*Calculator!$C$27)/1000)*(1+Calculator!$C$45+Calculator!$C$37)*Calculator!$C$39*(1-(1-MIN(Calculator!$C$44,MIN(1,E129+Calculator!$E$6/10*Constants!$B$16+Calculator!$C$36+Calculator!$C$40+Constants!$B$24*Calculator!$C$27)))*Constants!$B$6)</f>
        <v>24.7719677835</v>
      </c>
    </row>
    <row r="130" customFormat="false" ht="15" hidden="false" customHeight="false" outlineLevel="0" collapsed="false">
      <c r="A130" s="4" t="s">
        <v>2886</v>
      </c>
      <c r="B130" s="4" t="s">
        <v>2726</v>
      </c>
      <c r="C130" s="4" t="s">
        <v>976</v>
      </c>
      <c r="D130" s="4" t="n">
        <v>15</v>
      </c>
      <c r="E130" s="4" t="n">
        <v>0.05</v>
      </c>
      <c r="F130" s="4" t="s">
        <v>57</v>
      </c>
      <c r="G130" s="4" t="n">
        <v>9</v>
      </c>
      <c r="H130" s="4"/>
      <c r="I130" s="4" t="n">
        <v>0</v>
      </c>
      <c r="J130" s="4"/>
      <c r="K130" s="4" t="n">
        <v>0</v>
      </c>
      <c r="L130" s="24" t="n">
        <f aca="false">D130*(1+0.75*(IFERROR(G130*INDEX(Calculator!$E$6:$E$23,MATCH(F130,Calculator!$A$6:$A$23,0)),0)+IFERROR(I130*INDEX(Calculator!$E$6:$E$23,MATCH(H130,Calculator!$A$6:$A$23,0)),0)+IFERROR(K130*INDEX(Calculator!$E$6:$E$23,MATCH(J130,Calculator!$A$6:$A$23,0)),0))*(1+Constants!$B$23*Calculator!$C$27)/1000)*(1+Calculator!$C$45+Calculator!$C$37)*Calculator!$C$39*(1-(1-MIN(Calculator!$C$44,MIN(1,E130+Calculator!$E$6/10*Constants!$B$16+Calculator!$C$36+Calculator!$C$40+Constants!$B$24*Calculator!$C$27)))*Constants!$B$6)</f>
        <v>14.37435</v>
      </c>
    </row>
    <row r="131" customFormat="false" ht="15" hidden="false" customHeight="false" outlineLevel="0" collapsed="false">
      <c r="A131" s="4" t="s">
        <v>2887</v>
      </c>
      <c r="B131" s="4" t="s">
        <v>2726</v>
      </c>
      <c r="C131" s="4" t="s">
        <v>2888</v>
      </c>
      <c r="D131" s="4" t="n">
        <v>12</v>
      </c>
      <c r="E131" s="4" t="n">
        <v>0.1</v>
      </c>
      <c r="F131" s="4" t="s">
        <v>57</v>
      </c>
      <c r="G131" s="4" t="n">
        <v>4</v>
      </c>
      <c r="H131" s="4" t="s">
        <v>49</v>
      </c>
      <c r="I131" s="4" t="n">
        <v>11</v>
      </c>
      <c r="J131" s="4"/>
      <c r="K131" s="4" t="n">
        <v>0</v>
      </c>
      <c r="L131" s="24" t="n">
        <f aca="false">D131*(1+0.75*(IFERROR(G131*INDEX(Calculator!$E$6:$E$23,MATCH(F131,Calculator!$A$6:$A$23,0)),0)+IFERROR(I131*INDEX(Calculator!$E$6:$E$23,MATCH(H131,Calculator!$A$6:$A$23,0)),0)+IFERROR(K131*INDEX(Calculator!$E$6:$E$23,MATCH(J131,Calculator!$A$6:$A$23,0)),0))*(1+Constants!$B$23*Calculator!$C$27)/1000)*(1+Calculator!$C$45+Calculator!$C$37)*Calculator!$C$39*(1-(1-MIN(Calculator!$C$44,MIN(1,E131+Calculator!$E$6/10*Constants!$B$16+Calculator!$C$36+Calculator!$C$40+Constants!$B$24*Calculator!$C$27)))*Constants!$B$6)</f>
        <v>14.4112804362</v>
      </c>
    </row>
    <row r="132" customFormat="false" ht="15" hidden="false" customHeight="false" outlineLevel="0" collapsed="false">
      <c r="A132" s="4" t="s">
        <v>2889</v>
      </c>
      <c r="B132" s="4" t="s">
        <v>2700</v>
      </c>
      <c r="C132" s="4" t="s">
        <v>2869</v>
      </c>
      <c r="D132" s="4" t="n">
        <v>24</v>
      </c>
      <c r="E132" s="4" t="n">
        <v>0</v>
      </c>
      <c r="F132" s="4" t="s">
        <v>53</v>
      </c>
      <c r="G132" s="4" t="n">
        <v>9</v>
      </c>
      <c r="H132" s="4"/>
      <c r="I132" s="4" t="n">
        <v>0</v>
      </c>
      <c r="J132" s="4"/>
      <c r="K132" s="4" t="n">
        <v>0</v>
      </c>
      <c r="L132" s="24" t="n">
        <f aca="false">D132*(1+0.75*(IFERROR(G132*INDEX(Calculator!$E$6:$E$23,MATCH(F132,Calculator!$A$6:$A$23,0)),0)+IFERROR(I132*INDEX(Calculator!$E$6:$E$23,MATCH(H132,Calculator!$A$6:$A$23,0)),0)+IFERROR(K132*INDEX(Calculator!$E$6:$E$23,MATCH(J132,Calculator!$A$6:$A$23,0)),0))*(1+Constants!$B$23*Calculator!$C$27)/1000)*(1+Calculator!$C$45+Calculator!$C$37)*Calculator!$C$39*(1-(1-MIN(Calculator!$C$44,MIN(1,E132+Calculator!$E$6/10*Constants!$B$16+Calculator!$C$36+Calculator!$C$40+Constants!$B$24*Calculator!$C$27)))*Constants!$B$6)</f>
        <v>22.53996</v>
      </c>
    </row>
    <row r="133" customFormat="false" ht="15" hidden="false" customHeight="false" outlineLevel="0" collapsed="false">
      <c r="A133" s="4" t="s">
        <v>2890</v>
      </c>
      <c r="B133" s="4" t="s">
        <v>2891</v>
      </c>
      <c r="C133" s="4" t="s">
        <v>2892</v>
      </c>
      <c r="D133" s="4" t="n">
        <v>20</v>
      </c>
      <c r="E133" s="4" t="n">
        <v>0.05</v>
      </c>
      <c r="F133" s="4" t="s">
        <v>55</v>
      </c>
      <c r="G133" s="4" t="n">
        <v>5</v>
      </c>
      <c r="H133" s="4"/>
      <c r="I133" s="4" t="n">
        <v>0</v>
      </c>
      <c r="J133" s="4"/>
      <c r="K133" s="4" t="n">
        <v>0</v>
      </c>
      <c r="L133" s="24" t="n">
        <f aca="false">D133*(1+0.75*(IFERROR(G133*INDEX(Calculator!$E$6:$E$23,MATCH(F133,Calculator!$A$6:$A$23,0)),0)+IFERROR(I133*INDEX(Calculator!$E$6:$E$23,MATCH(H133,Calculator!$A$6:$A$23,0)),0)+IFERROR(K133*INDEX(Calculator!$E$6:$E$23,MATCH(J133,Calculator!$A$6:$A$23,0)),0))*(1+Constants!$B$23*Calculator!$C$27)/1000)*(1+Calculator!$C$45+Calculator!$C$37)*Calculator!$C$39*(1-(1-MIN(Calculator!$C$44,MIN(1,E133+Calculator!$E$6/10*Constants!$B$16+Calculator!$C$36+Calculator!$C$40+Constants!$B$24*Calculator!$C$27)))*Constants!$B$6)</f>
        <v>27.49717326</v>
      </c>
    </row>
    <row r="134" customFormat="false" ht="15" hidden="false" customHeight="false" outlineLevel="0" collapsed="false">
      <c r="A134" s="4" t="s">
        <v>2893</v>
      </c>
      <c r="B134" s="4" t="s">
        <v>2700</v>
      </c>
      <c r="C134" s="4" t="s">
        <v>2894</v>
      </c>
      <c r="D134" s="4" t="n">
        <v>24</v>
      </c>
      <c r="E134" s="4" t="n">
        <v>0</v>
      </c>
      <c r="F134" s="4" t="s">
        <v>53</v>
      </c>
      <c r="G134" s="4" t="n">
        <v>7</v>
      </c>
      <c r="H134" s="4"/>
      <c r="I134" s="4" t="n">
        <v>0</v>
      </c>
      <c r="J134" s="4"/>
      <c r="K134" s="4" t="n">
        <v>0</v>
      </c>
      <c r="L134" s="24" t="n">
        <f aca="false">D134*(1+0.75*(IFERROR(G134*INDEX(Calculator!$E$6:$E$23,MATCH(F134,Calculator!$A$6:$A$23,0)),0)+IFERROR(I134*INDEX(Calculator!$E$6:$E$23,MATCH(H134,Calculator!$A$6:$A$23,0)),0)+IFERROR(K134*INDEX(Calculator!$E$6:$E$23,MATCH(J134,Calculator!$A$6:$A$23,0)),0))*(1+Constants!$B$23*Calculator!$C$27)/1000)*(1+Calculator!$C$45+Calculator!$C$37)*Calculator!$C$39*(1-(1-MIN(Calculator!$C$44,MIN(1,E134+Calculator!$E$6/10*Constants!$B$16+Calculator!$C$36+Calculator!$C$40+Constants!$B$24*Calculator!$C$27)))*Constants!$B$6)</f>
        <v>22.53996</v>
      </c>
    </row>
    <row r="135" customFormat="false" ht="15" hidden="false" customHeight="false" outlineLevel="0" collapsed="false">
      <c r="A135" s="4" t="s">
        <v>2895</v>
      </c>
      <c r="B135" s="4" t="s">
        <v>2693</v>
      </c>
      <c r="C135" s="4" t="s">
        <v>1464</v>
      </c>
      <c r="D135" s="4" t="n">
        <v>24</v>
      </c>
      <c r="E135" s="4" t="n">
        <v>0.05</v>
      </c>
      <c r="F135" s="4" t="s">
        <v>53</v>
      </c>
      <c r="G135" s="4" t="n">
        <v>10</v>
      </c>
      <c r="H135" s="4"/>
      <c r="I135" s="4" t="n">
        <v>0</v>
      </c>
      <c r="J135" s="4"/>
      <c r="K135" s="4" t="n">
        <v>0</v>
      </c>
      <c r="L135" s="24" t="n">
        <f aca="false">D135*(1+0.75*(IFERROR(G135*INDEX(Calculator!$E$6:$E$23,MATCH(F135,Calculator!$A$6:$A$23,0)),0)+IFERROR(I135*INDEX(Calculator!$E$6:$E$23,MATCH(H135,Calculator!$A$6:$A$23,0)),0)+IFERROR(K135*INDEX(Calculator!$E$6:$E$23,MATCH(J135,Calculator!$A$6:$A$23,0)),0))*(1+Constants!$B$23*Calculator!$C$27)/1000)*(1+Calculator!$C$45+Calculator!$C$37)*Calculator!$C$39*(1-(1-MIN(Calculator!$C$44,MIN(1,E135+Calculator!$E$6/10*Constants!$B$16+Calculator!$C$36+Calculator!$C$40+Constants!$B$24*Calculator!$C$27)))*Constants!$B$6)</f>
        <v>22.99896</v>
      </c>
    </row>
    <row r="136" customFormat="false" ht="15" hidden="false" customHeight="false" outlineLevel="0" collapsed="false">
      <c r="A136" s="4" t="s">
        <v>2896</v>
      </c>
      <c r="B136" s="4" t="s">
        <v>2698</v>
      </c>
      <c r="C136" s="4" t="s">
        <v>2892</v>
      </c>
      <c r="D136" s="4" t="n">
        <v>20</v>
      </c>
      <c r="E136" s="4" t="n">
        <v>0</v>
      </c>
      <c r="F136" s="4" t="s">
        <v>55</v>
      </c>
      <c r="G136" s="4" t="n">
        <v>5</v>
      </c>
      <c r="H136" s="4"/>
      <c r="I136" s="4" t="n">
        <v>0</v>
      </c>
      <c r="J136" s="4"/>
      <c r="K136" s="4" t="n">
        <v>0</v>
      </c>
      <c r="L136" s="24" t="n">
        <f aca="false">D136*(1+0.75*(IFERROR(G136*INDEX(Calculator!$E$6:$E$23,MATCH(F136,Calculator!$A$6:$A$23,0)),0)+IFERROR(I136*INDEX(Calculator!$E$6:$E$23,MATCH(H136,Calculator!$A$6:$A$23,0)),0)+IFERROR(K136*INDEX(Calculator!$E$6:$E$23,MATCH(J136,Calculator!$A$6:$A$23,0)),0))*(1+Constants!$B$23*Calculator!$C$27)/1000)*(1+Calculator!$C$45+Calculator!$C$37)*Calculator!$C$39*(1-(1-MIN(Calculator!$C$44,MIN(1,E136+Calculator!$E$6/10*Constants!$B$16+Calculator!$C$36+Calculator!$C$40+Constants!$B$24*Calculator!$C$27)))*Constants!$B$6)</f>
        <v>26.94840051</v>
      </c>
    </row>
    <row r="137" customFormat="false" ht="15" hidden="false" customHeight="false" outlineLevel="0" collapsed="false">
      <c r="A137" s="4" t="s">
        <v>2897</v>
      </c>
      <c r="B137" s="4" t="s">
        <v>2898</v>
      </c>
      <c r="C137" s="4" t="s">
        <v>1613</v>
      </c>
      <c r="D137" s="4" t="n">
        <v>18.5</v>
      </c>
      <c r="E137" s="4" t="n">
        <v>0.25</v>
      </c>
      <c r="F137" s="4" t="s">
        <v>47</v>
      </c>
      <c r="G137" s="4" t="n">
        <v>13</v>
      </c>
      <c r="H137" s="4"/>
      <c r="I137" s="4" t="n">
        <v>0</v>
      </c>
      <c r="J137" s="4"/>
      <c r="K137" s="4" t="n">
        <v>0</v>
      </c>
      <c r="L137" s="24" t="n">
        <f aca="false">D137*(1+0.75*(IFERROR(G137*INDEX(Calculator!$E$6:$E$23,MATCH(F137,Calculator!$A$6:$A$23,0)),0)+IFERROR(I137*INDEX(Calculator!$E$6:$E$23,MATCH(H137,Calculator!$A$6:$A$23,0)),0)+IFERROR(K137*INDEX(Calculator!$E$6:$E$23,MATCH(J137,Calculator!$A$6:$A$23,0)),0))*(1+Constants!$B$23*Calculator!$C$27)/1000)*(1+Calculator!$C$45+Calculator!$C$37)*Calculator!$C$39*(1-(1-MIN(Calculator!$C$44,MIN(1,E137+Calculator!$E$6/10*Constants!$B$16+Calculator!$C$36+Calculator!$C$40+Constants!$B$24*Calculator!$C$27)))*Constants!$B$6)</f>
        <v>19.143615</v>
      </c>
    </row>
    <row r="138" customFormat="false" ht="15" hidden="false" customHeight="false" outlineLevel="0" collapsed="false">
      <c r="A138" s="4" t="s">
        <v>2899</v>
      </c>
      <c r="B138" s="4" t="s">
        <v>2718</v>
      </c>
      <c r="C138" s="4" t="s">
        <v>1618</v>
      </c>
      <c r="D138" s="4" t="n">
        <v>15</v>
      </c>
      <c r="E138" s="4" t="n">
        <v>0</v>
      </c>
      <c r="F138" s="4" t="s">
        <v>57</v>
      </c>
      <c r="G138" s="4" t="n">
        <v>8.5</v>
      </c>
      <c r="H138" s="4"/>
      <c r="I138" s="4" t="n">
        <v>0</v>
      </c>
      <c r="J138" s="4"/>
      <c r="K138" s="4" t="n">
        <v>0</v>
      </c>
      <c r="L138" s="24" t="n">
        <f aca="false">D138*(1+0.75*(IFERROR(G138*INDEX(Calculator!$E$6:$E$23,MATCH(F138,Calculator!$A$6:$A$23,0)),0)+IFERROR(I138*INDEX(Calculator!$E$6:$E$23,MATCH(H138,Calculator!$A$6:$A$23,0)),0)+IFERROR(K138*INDEX(Calculator!$E$6:$E$23,MATCH(J138,Calculator!$A$6:$A$23,0)),0))*(1+Constants!$B$23*Calculator!$C$27)/1000)*(1+Calculator!$C$45+Calculator!$C$37)*Calculator!$C$39*(1-(1-MIN(Calculator!$C$44,MIN(1,E138+Calculator!$E$6/10*Constants!$B$16+Calculator!$C$36+Calculator!$C$40+Constants!$B$24*Calculator!$C$27)))*Constants!$B$6)</f>
        <v>14.087475</v>
      </c>
    </row>
    <row r="139" customFormat="false" ht="15" hidden="false" customHeight="false" outlineLevel="0" collapsed="false">
      <c r="A139" s="4" t="s">
        <v>2900</v>
      </c>
      <c r="B139" s="4" t="s">
        <v>2891</v>
      </c>
      <c r="C139" s="4" t="s">
        <v>680</v>
      </c>
      <c r="D139" s="4" t="n">
        <v>16</v>
      </c>
      <c r="E139" s="4" t="n">
        <v>0.2</v>
      </c>
      <c r="F139" s="4" t="s">
        <v>55</v>
      </c>
      <c r="G139" s="4" t="n">
        <v>6</v>
      </c>
      <c r="H139" s="4"/>
      <c r="I139" s="4" t="n">
        <v>0</v>
      </c>
      <c r="J139" s="4"/>
      <c r="K139" s="4" t="n">
        <v>0</v>
      </c>
      <c r="L139" s="24" t="n">
        <f aca="false">D139*(1+0.75*(IFERROR(G139*INDEX(Calculator!$E$6:$E$23,MATCH(F139,Calculator!$A$6:$A$23,0)),0)+IFERROR(I139*INDEX(Calculator!$E$6:$E$23,MATCH(H139,Calculator!$A$6:$A$23,0)),0)+IFERROR(K139*INDEX(Calculator!$E$6:$E$23,MATCH(J139,Calculator!$A$6:$A$23,0)),0))*(1+Constants!$B$23*Calculator!$C$27)/1000)*(1+Calculator!$C$45+Calculator!$C$37)*Calculator!$C$39*(1-(1-MIN(Calculator!$C$44,MIN(1,E139+Calculator!$E$6/10*Constants!$B$16+Calculator!$C$36+Calculator!$C$40+Constants!$B$24*Calculator!$C$27)))*Constants!$B$6)</f>
        <v>24.7276238496</v>
      </c>
    </row>
    <row r="140" customFormat="false" ht="15" hidden="false" customHeight="false" outlineLevel="0" collapsed="false">
      <c r="A140" s="4" t="s">
        <v>2901</v>
      </c>
      <c r="B140" s="4" t="s">
        <v>2729</v>
      </c>
      <c r="C140" s="4" t="s">
        <v>1618</v>
      </c>
      <c r="D140" s="4" t="n">
        <v>16.5</v>
      </c>
      <c r="E140" s="4" t="n">
        <v>0.15</v>
      </c>
      <c r="F140" s="4" t="s">
        <v>57</v>
      </c>
      <c r="G140" s="4" t="n">
        <v>8.5</v>
      </c>
      <c r="H140" s="4"/>
      <c r="I140" s="4" t="n">
        <v>0</v>
      </c>
      <c r="J140" s="4"/>
      <c r="K140" s="4" t="n">
        <v>0</v>
      </c>
      <c r="L140" s="24" t="n">
        <f aca="false">D140*(1+0.75*(IFERROR(G140*INDEX(Calculator!$E$6:$E$23,MATCH(F140,Calculator!$A$6:$A$23,0)),0)+IFERROR(I140*INDEX(Calculator!$E$6:$E$23,MATCH(H140,Calculator!$A$6:$A$23,0)),0)+IFERROR(K140*INDEX(Calculator!$E$6:$E$23,MATCH(J140,Calculator!$A$6:$A$23,0)),0))*(1+Constants!$B$23*Calculator!$C$27)/1000)*(1+Calculator!$C$45+Calculator!$C$37)*Calculator!$C$39*(1-(1-MIN(Calculator!$C$44,MIN(1,E140+Calculator!$E$6/10*Constants!$B$16+Calculator!$C$36+Calculator!$C$40+Constants!$B$24*Calculator!$C$27)))*Constants!$B$6)</f>
        <v>16.44291</v>
      </c>
    </row>
    <row r="141" customFormat="false" ht="15" hidden="false" customHeight="false" outlineLevel="0" collapsed="false">
      <c r="A141" s="4" t="s">
        <v>2902</v>
      </c>
      <c r="B141" s="4" t="s">
        <v>2718</v>
      </c>
      <c r="C141" s="4" t="s">
        <v>1637</v>
      </c>
      <c r="D141" s="4" t="n">
        <v>11.5</v>
      </c>
      <c r="E141" s="4" t="n">
        <v>0.3</v>
      </c>
      <c r="F141" s="4" t="s">
        <v>57</v>
      </c>
      <c r="G141" s="4" t="n">
        <v>13</v>
      </c>
      <c r="H141" s="4"/>
      <c r="I141" s="4" t="n">
        <v>0</v>
      </c>
      <c r="J141" s="4"/>
      <c r="K141" s="4" t="n">
        <v>0</v>
      </c>
      <c r="L141" s="24" t="n">
        <f aca="false">D141*(1+0.75*(IFERROR(G141*INDEX(Calculator!$E$6:$E$23,MATCH(F141,Calculator!$A$6:$A$23,0)),0)+IFERROR(I141*INDEX(Calculator!$E$6:$E$23,MATCH(H141,Calculator!$A$6:$A$23,0)),0)+IFERROR(K141*INDEX(Calculator!$E$6:$E$23,MATCH(J141,Calculator!$A$6:$A$23,0)),0))*(1+Constants!$B$23*Calculator!$C$27)/1000)*(1+Calculator!$C$45+Calculator!$C$37)*Calculator!$C$39*(1-(1-MIN(Calculator!$C$44,MIN(1,E141+Calculator!$E$6/10*Constants!$B$16+Calculator!$C$36+Calculator!$C$40+Constants!$B$24*Calculator!$C$27)))*Constants!$B$6)</f>
        <v>12.1200225</v>
      </c>
    </row>
    <row r="142" customFormat="false" ht="15" hidden="false" customHeight="false" outlineLevel="0" collapsed="false">
      <c r="A142" s="4" t="s">
        <v>2903</v>
      </c>
      <c r="B142" s="4" t="s">
        <v>2693</v>
      </c>
      <c r="C142" s="4" t="s">
        <v>2186</v>
      </c>
      <c r="D142" s="4" t="n">
        <v>23</v>
      </c>
      <c r="E142" s="4" t="n">
        <v>0.05</v>
      </c>
      <c r="F142" s="4" t="s">
        <v>53</v>
      </c>
      <c r="G142" s="4" t="n">
        <v>8</v>
      </c>
      <c r="H142" s="4"/>
      <c r="I142" s="4" t="n">
        <v>0</v>
      </c>
      <c r="J142" s="4"/>
      <c r="K142" s="4" t="n">
        <v>0</v>
      </c>
      <c r="L142" s="24" t="n">
        <f aca="false">D142*(1+0.75*(IFERROR(G142*INDEX(Calculator!$E$6:$E$23,MATCH(F142,Calculator!$A$6:$A$23,0)),0)+IFERROR(I142*INDEX(Calculator!$E$6:$E$23,MATCH(H142,Calculator!$A$6:$A$23,0)),0)+IFERROR(K142*INDEX(Calculator!$E$6:$E$23,MATCH(J142,Calculator!$A$6:$A$23,0)),0))*(1+Constants!$B$23*Calculator!$C$27)/1000)*(1+Calculator!$C$45+Calculator!$C$37)*Calculator!$C$39*(1-(1-MIN(Calculator!$C$44,MIN(1,E142+Calculator!$E$6/10*Constants!$B$16+Calculator!$C$36+Calculator!$C$40+Constants!$B$24*Calculator!$C$27)))*Constants!$B$6)</f>
        <v>22.04067</v>
      </c>
    </row>
    <row r="143" customFormat="false" ht="15" hidden="false" customHeight="false" outlineLevel="0" collapsed="false">
      <c r="A143" s="4" t="s">
        <v>2904</v>
      </c>
      <c r="B143" s="4" t="s">
        <v>2891</v>
      </c>
      <c r="C143" s="4" t="s">
        <v>680</v>
      </c>
      <c r="D143" s="4" t="n">
        <v>15</v>
      </c>
      <c r="E143" s="4" t="n">
        <v>0.2</v>
      </c>
      <c r="F143" s="4" t="s">
        <v>55</v>
      </c>
      <c r="G143" s="4" t="n">
        <v>5.5</v>
      </c>
      <c r="H143" s="4"/>
      <c r="I143" s="4" t="n">
        <v>0</v>
      </c>
      <c r="J143" s="4"/>
      <c r="K143" s="4" t="n">
        <v>0</v>
      </c>
      <c r="L143" s="24" t="n">
        <f aca="false">D143*(1+0.75*(IFERROR(G143*INDEX(Calculator!$E$6:$E$23,MATCH(F143,Calculator!$A$6:$A$23,0)),0)+IFERROR(I143*INDEX(Calculator!$E$6:$E$23,MATCH(H143,Calculator!$A$6:$A$23,0)),0)+IFERROR(K143*INDEX(Calculator!$E$6:$E$23,MATCH(J143,Calculator!$A$6:$A$23,0)),0))*(1+Constants!$B$23*Calculator!$C$27)/1000)*(1+Calculator!$C$45+Calculator!$C$37)*Calculator!$C$39*(1-(1-MIN(Calculator!$C$44,MIN(1,E143+Calculator!$E$6/10*Constants!$B$16+Calculator!$C$36+Calculator!$C$40+Constants!$B$24*Calculator!$C$27)))*Constants!$B$6)</f>
        <v>22.51988299575</v>
      </c>
    </row>
    <row r="144" customFormat="false" ht="15" hidden="false" customHeight="false" outlineLevel="0" collapsed="false">
      <c r="A144" s="4" t="s">
        <v>2905</v>
      </c>
      <c r="B144" s="4" t="s">
        <v>2698</v>
      </c>
      <c r="C144" s="4" t="s">
        <v>2906</v>
      </c>
      <c r="D144" s="4" t="n">
        <v>19.8</v>
      </c>
      <c r="E144" s="4" t="n">
        <v>0.1</v>
      </c>
      <c r="F144" s="4" t="s">
        <v>55</v>
      </c>
      <c r="G144" s="4" t="n">
        <v>8</v>
      </c>
      <c r="H144" s="4"/>
      <c r="I144" s="4" t="n">
        <v>0</v>
      </c>
      <c r="J144" s="4"/>
      <c r="K144" s="4" t="n">
        <v>0</v>
      </c>
      <c r="L144" s="24" t="n">
        <f aca="false">D144*(1+0.75*(IFERROR(G144*INDEX(Calculator!$E$6:$E$23,MATCH(F144,Calculator!$A$6:$A$23,0)),0)+IFERROR(I144*INDEX(Calculator!$E$6:$E$23,MATCH(H144,Calculator!$A$6:$A$23,0)),0)+IFERROR(K144*INDEX(Calculator!$E$6:$E$23,MATCH(J144,Calculator!$A$6:$A$23,0)),0))*(1+Constants!$B$23*Calculator!$C$27)/1000)*(1+Calculator!$C$45+Calculator!$C$37)*Calculator!$C$39*(1-(1-MIN(Calculator!$C$44,MIN(1,E144+Calculator!$E$6/10*Constants!$B$16+Calculator!$C$36+Calculator!$C$40+Constants!$B$24*Calculator!$C$27)))*Constants!$B$6)</f>
        <v>32.81308827984</v>
      </c>
    </row>
    <row r="145" customFormat="false" ht="15" hidden="false" customHeight="false" outlineLevel="0" collapsed="false">
      <c r="A145" s="4" t="s">
        <v>2907</v>
      </c>
      <c r="B145" s="4" t="s">
        <v>2698</v>
      </c>
      <c r="C145" s="4" t="s">
        <v>603</v>
      </c>
      <c r="D145" s="4" t="n">
        <v>22</v>
      </c>
      <c r="E145" s="4" t="n">
        <v>0</v>
      </c>
      <c r="F145" s="4" t="s">
        <v>55</v>
      </c>
      <c r="G145" s="4" t="n">
        <v>4.5</v>
      </c>
      <c r="H145" s="4"/>
      <c r="I145" s="4" t="n">
        <v>0</v>
      </c>
      <c r="J145" s="4"/>
      <c r="K145" s="4" t="n">
        <v>0</v>
      </c>
      <c r="L145" s="24" t="n">
        <f aca="false">D145*(1+0.75*(IFERROR(G145*INDEX(Calculator!$E$6:$E$23,MATCH(F145,Calculator!$A$6:$A$23,0)),0)+IFERROR(I145*INDEX(Calculator!$E$6:$E$23,MATCH(H145,Calculator!$A$6:$A$23,0)),0)+IFERROR(K145*INDEX(Calculator!$E$6:$E$23,MATCH(J145,Calculator!$A$6:$A$23,0)),0))*(1+Constants!$B$23*Calculator!$C$27)/1000)*(1+Calculator!$C$45+Calculator!$C$37)*Calculator!$C$39*(1-(1-MIN(Calculator!$C$44,MIN(1,E145+Calculator!$E$6/10*Constants!$B$16+Calculator!$C$36+Calculator!$C$40+Constants!$B$24*Calculator!$C$27)))*Constants!$B$6)</f>
        <v>28.7450795049</v>
      </c>
    </row>
    <row r="146" customFormat="false" ht="15" hidden="false" customHeight="false" outlineLevel="0" collapsed="false">
      <c r="A146" s="4" t="s">
        <v>2908</v>
      </c>
      <c r="B146" s="4" t="s">
        <v>2698</v>
      </c>
      <c r="C146" s="4" t="s">
        <v>2909</v>
      </c>
      <c r="D146" s="4" t="n">
        <v>22.5</v>
      </c>
      <c r="E146" s="4" t="n">
        <v>0.05</v>
      </c>
      <c r="F146" s="4" t="s">
        <v>55</v>
      </c>
      <c r="G146" s="4" t="n">
        <v>6.5</v>
      </c>
      <c r="H146" s="4"/>
      <c r="I146" s="4" t="n">
        <v>0</v>
      </c>
      <c r="J146" s="4"/>
      <c r="K146" s="4" t="n">
        <v>0</v>
      </c>
      <c r="L146" s="24" t="n">
        <f aca="false">D146*(1+0.75*(IFERROR(G146*INDEX(Calculator!$E$6:$E$23,MATCH(F146,Calculator!$A$6:$A$23,0)),0)+IFERROR(I146*INDEX(Calculator!$E$6:$E$23,MATCH(H146,Calculator!$A$6:$A$23,0)),0)+IFERROR(K146*INDEX(Calculator!$E$6:$E$23,MATCH(J146,Calculator!$A$6:$A$23,0)),0))*(1+Constants!$B$23*Calculator!$C$27)/1000)*(1+Calculator!$C$45+Calculator!$C$37)*Calculator!$C$39*(1-(1-MIN(Calculator!$C$44,MIN(1,E146+Calculator!$E$6/10*Constants!$B$16+Calculator!$C$36+Calculator!$C$40+Constants!$B$24*Calculator!$C$27)))*Constants!$B$6)</f>
        <v>33.74615839275</v>
      </c>
    </row>
    <row r="147" customFormat="false" ht="15" hidden="false" customHeight="false" outlineLevel="0" collapsed="false">
      <c r="A147" s="4" t="s">
        <v>2910</v>
      </c>
      <c r="B147" s="4" t="s">
        <v>2693</v>
      </c>
      <c r="C147" s="4" t="s">
        <v>2911</v>
      </c>
      <c r="D147" s="4" t="n">
        <v>23</v>
      </c>
      <c r="E147" s="4" t="n">
        <v>0.25</v>
      </c>
      <c r="F147" s="4" t="s">
        <v>53</v>
      </c>
      <c r="G147" s="4" t="n">
        <v>8.5</v>
      </c>
      <c r="H147" s="4"/>
      <c r="I147" s="4" t="n">
        <v>0</v>
      </c>
      <c r="J147" s="4"/>
      <c r="K147" s="4" t="n">
        <v>0</v>
      </c>
      <c r="L147" s="24" t="n">
        <f aca="false">D147*(1+0.75*(IFERROR(G147*INDEX(Calculator!$E$6:$E$23,MATCH(F147,Calculator!$A$6:$A$23,0)),0)+IFERROR(I147*INDEX(Calculator!$E$6:$E$23,MATCH(H147,Calculator!$A$6:$A$23,0)),0)+IFERROR(K147*INDEX(Calculator!$E$6:$E$23,MATCH(J147,Calculator!$A$6:$A$23,0)),0))*(1+Constants!$B$23*Calculator!$C$27)/1000)*(1+Calculator!$C$45+Calculator!$C$37)*Calculator!$C$39*(1-(1-MIN(Calculator!$C$44,MIN(1,E147+Calculator!$E$6/10*Constants!$B$16+Calculator!$C$36+Calculator!$C$40+Constants!$B$24*Calculator!$C$27)))*Constants!$B$6)</f>
        <v>23.80017</v>
      </c>
    </row>
    <row r="148" customFormat="false" ht="15" hidden="false" customHeight="false" outlineLevel="0" collapsed="false">
      <c r="A148" s="4" t="s">
        <v>2912</v>
      </c>
      <c r="B148" s="4" t="s">
        <v>2706</v>
      </c>
      <c r="C148" s="4" t="s">
        <v>2784</v>
      </c>
      <c r="D148" s="4" t="n">
        <v>24</v>
      </c>
      <c r="E148" s="4" t="n">
        <v>0.15</v>
      </c>
      <c r="F148" s="4" t="s">
        <v>53</v>
      </c>
      <c r="G148" s="4" t="n">
        <v>10</v>
      </c>
      <c r="H148" s="4"/>
      <c r="I148" s="4" t="n">
        <v>0</v>
      </c>
      <c r="J148" s="4"/>
      <c r="K148" s="4" t="n">
        <v>0</v>
      </c>
      <c r="L148" s="24" t="n">
        <f aca="false">D148*(1+0.75*(IFERROR(G148*INDEX(Calculator!$E$6:$E$23,MATCH(F148,Calculator!$A$6:$A$23,0)),0)+IFERROR(I148*INDEX(Calculator!$E$6:$E$23,MATCH(H148,Calculator!$A$6:$A$23,0)),0)+IFERROR(K148*INDEX(Calculator!$E$6:$E$23,MATCH(J148,Calculator!$A$6:$A$23,0)),0))*(1+Constants!$B$23*Calculator!$C$27)/1000)*(1+Calculator!$C$45+Calculator!$C$37)*Calculator!$C$39*(1-(1-MIN(Calculator!$C$44,MIN(1,E148+Calculator!$E$6/10*Constants!$B$16+Calculator!$C$36+Calculator!$C$40+Constants!$B$24*Calculator!$C$27)))*Constants!$B$6)</f>
        <v>23.91696</v>
      </c>
    </row>
    <row r="149" customFormat="false" ht="15" hidden="false" customHeight="false" outlineLevel="0" collapsed="false">
      <c r="A149" s="4" t="s">
        <v>2913</v>
      </c>
      <c r="B149" s="4" t="s">
        <v>2891</v>
      </c>
      <c r="C149" s="4" t="s">
        <v>1712</v>
      </c>
      <c r="D149" s="4" t="n">
        <v>19</v>
      </c>
      <c r="E149" s="4" t="n">
        <v>0.3</v>
      </c>
      <c r="F149" s="4" t="s">
        <v>55</v>
      </c>
      <c r="G149" s="4" t="n">
        <v>6</v>
      </c>
      <c r="H149" s="4"/>
      <c r="I149" s="4" t="n">
        <v>0</v>
      </c>
      <c r="J149" s="4"/>
      <c r="K149" s="4" t="n">
        <v>0</v>
      </c>
      <c r="L149" s="24" t="n">
        <f aca="false">D149*(1+0.75*(IFERROR(G149*INDEX(Calculator!$E$6:$E$23,MATCH(F149,Calculator!$A$6:$A$23,0)),0)+IFERROR(I149*INDEX(Calculator!$E$6:$E$23,MATCH(H149,Calculator!$A$6:$A$23,0)),0)+IFERROR(K149*INDEX(Calculator!$E$6:$E$23,MATCH(J149,Calculator!$A$6:$A$23,0)),0))*(1+Constants!$B$23*Calculator!$C$27)/1000)*(1+Calculator!$C$45+Calculator!$C$37)*Calculator!$C$39*(1-(1-MIN(Calculator!$C$44,MIN(1,E149+Calculator!$E$6/10*Constants!$B$16+Calculator!$C$36+Calculator!$C$40+Constants!$B$24*Calculator!$C$27)))*Constants!$B$6)</f>
        <v>30.4699051914</v>
      </c>
    </row>
    <row r="150" customFormat="false" ht="15" hidden="false" customHeight="false" outlineLevel="0" collapsed="false">
      <c r="A150" s="4" t="s">
        <v>2914</v>
      </c>
      <c r="B150" s="4" t="s">
        <v>2706</v>
      </c>
      <c r="C150" s="4" t="s">
        <v>2784</v>
      </c>
      <c r="D150" s="4" t="n">
        <v>26</v>
      </c>
      <c r="E150" s="4" t="n">
        <v>0.15</v>
      </c>
      <c r="F150" s="4" t="s">
        <v>53</v>
      </c>
      <c r="G150" s="4" t="n">
        <v>9</v>
      </c>
      <c r="H150" s="4"/>
      <c r="I150" s="4" t="n">
        <v>0</v>
      </c>
      <c r="J150" s="4"/>
      <c r="K150" s="4" t="n">
        <v>0</v>
      </c>
      <c r="L150" s="24" t="n">
        <f aca="false">D150*(1+0.75*(IFERROR(G150*INDEX(Calculator!$E$6:$E$23,MATCH(F150,Calculator!$A$6:$A$23,0)),0)+IFERROR(I150*INDEX(Calculator!$E$6:$E$23,MATCH(H150,Calculator!$A$6:$A$23,0)),0)+IFERROR(K150*INDEX(Calculator!$E$6:$E$23,MATCH(J150,Calculator!$A$6:$A$23,0)),0))*(1+Constants!$B$23*Calculator!$C$27)/1000)*(1+Calculator!$C$45+Calculator!$C$37)*Calculator!$C$39*(1-(1-MIN(Calculator!$C$44,MIN(1,E150+Calculator!$E$6/10*Constants!$B$16+Calculator!$C$36+Calculator!$C$40+Constants!$B$24*Calculator!$C$27)))*Constants!$B$6)</f>
        <v>25.91004</v>
      </c>
    </row>
    <row r="151" customFormat="false" ht="15" hidden="false" customHeight="false" outlineLevel="0" collapsed="false">
      <c r="A151" s="4" t="s">
        <v>2915</v>
      </c>
      <c r="B151" s="4" t="s">
        <v>2698</v>
      </c>
      <c r="C151" s="4" t="s">
        <v>1712</v>
      </c>
      <c r="D151" s="4" t="n">
        <v>20</v>
      </c>
      <c r="E151" s="4" t="n">
        <v>0.1</v>
      </c>
      <c r="F151" s="4" t="s">
        <v>55</v>
      </c>
      <c r="G151" s="4" t="n">
        <v>7</v>
      </c>
      <c r="H151" s="4"/>
      <c r="I151" s="4" t="n">
        <v>0</v>
      </c>
      <c r="J151" s="4"/>
      <c r="K151" s="4" t="n">
        <v>0</v>
      </c>
      <c r="L151" s="24" t="n">
        <f aca="false">D151*(1+0.75*(IFERROR(G151*INDEX(Calculator!$E$6:$E$23,MATCH(F151,Calculator!$A$6:$A$23,0)),0)+IFERROR(I151*INDEX(Calculator!$E$6:$E$23,MATCH(H151,Calculator!$A$6:$A$23,0)),0)+IFERROR(K151*INDEX(Calculator!$E$6:$E$23,MATCH(J151,Calculator!$A$6:$A$23,0)),0))*(1+Constants!$B$23*Calculator!$C$27)/1000)*(1+Calculator!$C$45+Calculator!$C$37)*Calculator!$C$39*(1-(1-MIN(Calculator!$C$44,MIN(1,E151+Calculator!$E$6/10*Constants!$B$16+Calculator!$C$36+Calculator!$C$40+Constants!$B$24*Calculator!$C$27)))*Constants!$B$6)</f>
        <v>31.445004414</v>
      </c>
    </row>
    <row r="152" customFormat="false" ht="15" hidden="false" customHeight="false" outlineLevel="0" collapsed="false">
      <c r="A152" s="4" t="s">
        <v>2916</v>
      </c>
      <c r="B152" s="4" t="s">
        <v>2891</v>
      </c>
      <c r="C152" s="4" t="s">
        <v>2917</v>
      </c>
      <c r="D152" s="4" t="n">
        <v>22</v>
      </c>
      <c r="E152" s="4" t="n">
        <v>0.1</v>
      </c>
      <c r="F152" s="4" t="s">
        <v>55</v>
      </c>
      <c r="G152" s="4" t="n">
        <v>3</v>
      </c>
      <c r="H152" s="4" t="s">
        <v>59</v>
      </c>
      <c r="I152" s="4" t="n">
        <v>4</v>
      </c>
      <c r="J152" s="4"/>
      <c r="K152" s="4" t="n">
        <v>0</v>
      </c>
      <c r="L152" s="24" t="n">
        <f aca="false">D152*(1+0.75*(IFERROR(G152*INDEX(Calculator!$E$6:$E$23,MATCH(F152,Calculator!$A$6:$A$23,0)),0)+IFERROR(I152*INDEX(Calculator!$E$6:$E$23,MATCH(H152,Calculator!$A$6:$A$23,0)),0)+IFERROR(K152*INDEX(Calculator!$E$6:$E$23,MATCH(J152,Calculator!$A$6:$A$23,0)),0))*(1+Constants!$B$23*Calculator!$C$27)/1000)*(1+Calculator!$C$45+Calculator!$C$37)*Calculator!$C$39*(1-(1-MIN(Calculator!$C$44,MIN(1,E152+Calculator!$E$6/10*Constants!$B$16+Calculator!$C$36+Calculator!$C$40+Constants!$B$24*Calculator!$C$27)))*Constants!$B$6)</f>
        <v>27.1115763666</v>
      </c>
    </row>
    <row r="153" customFormat="false" ht="15" hidden="false" customHeight="false" outlineLevel="0" collapsed="false">
      <c r="A153" s="4" t="s">
        <v>2918</v>
      </c>
      <c r="B153" s="4" t="s">
        <v>2700</v>
      </c>
      <c r="C153" s="4" t="s">
        <v>2186</v>
      </c>
      <c r="D153" s="4" t="n">
        <v>22</v>
      </c>
      <c r="E153" s="4" t="n">
        <v>0.25</v>
      </c>
      <c r="F153" s="4" t="s">
        <v>53</v>
      </c>
      <c r="G153" s="4" t="n">
        <v>8.3</v>
      </c>
      <c r="H153" s="4"/>
      <c r="I153" s="4" t="n">
        <v>0</v>
      </c>
      <c r="J153" s="4"/>
      <c r="K153" s="4" t="n">
        <v>0</v>
      </c>
      <c r="L153" s="24" t="n">
        <f aca="false">D153*(1+0.75*(IFERROR(G153*INDEX(Calculator!$E$6:$E$23,MATCH(F153,Calculator!$A$6:$A$23,0)),0)+IFERROR(I153*INDEX(Calculator!$E$6:$E$23,MATCH(H153,Calculator!$A$6:$A$23,0)),0)+IFERROR(K153*INDEX(Calculator!$E$6:$E$23,MATCH(J153,Calculator!$A$6:$A$23,0)),0))*(1+Constants!$B$23*Calculator!$C$27)/1000)*(1+Calculator!$C$45+Calculator!$C$37)*Calculator!$C$39*(1-(1-MIN(Calculator!$C$44,MIN(1,E153+Calculator!$E$6/10*Constants!$B$16+Calculator!$C$36+Calculator!$C$40+Constants!$B$24*Calculator!$C$27)))*Constants!$B$6)</f>
        <v>22.76538</v>
      </c>
    </row>
    <row r="154" customFormat="false" ht="15" hidden="false" customHeight="false" outlineLevel="0" collapsed="false">
      <c r="A154" s="4" t="s">
        <v>2919</v>
      </c>
      <c r="B154" s="4" t="s">
        <v>2698</v>
      </c>
      <c r="C154" s="4" t="s">
        <v>2920</v>
      </c>
      <c r="D154" s="4" t="n">
        <v>16.5</v>
      </c>
      <c r="E154" s="4" t="n">
        <v>0.15</v>
      </c>
      <c r="F154" s="4" t="s">
        <v>55</v>
      </c>
      <c r="G154" s="4" t="n">
        <v>9</v>
      </c>
      <c r="H154" s="4"/>
      <c r="I154" s="4" t="n">
        <v>0</v>
      </c>
      <c r="J154" s="4"/>
      <c r="K154" s="4" t="n">
        <v>0</v>
      </c>
      <c r="L154" s="24" t="n">
        <f aca="false">D154*(1+0.75*(IFERROR(G154*INDEX(Calculator!$E$6:$E$23,MATCH(F154,Calculator!$A$6:$A$23,0)),0)+IFERROR(I154*INDEX(Calculator!$E$6:$E$23,MATCH(H154,Calculator!$A$6:$A$23,0)),0)+IFERROR(K154*INDEX(Calculator!$E$6:$E$23,MATCH(J154,Calculator!$A$6:$A$23,0)),0))*(1+Constants!$B$23*Calculator!$C$27)/1000)*(1+Calculator!$C$45+Calculator!$C$37)*Calculator!$C$39*(1-(1-MIN(Calculator!$C$44,MIN(1,E154+Calculator!$E$6/10*Constants!$B$16+Calculator!$C$36+Calculator!$C$40+Constants!$B$24*Calculator!$C$27)))*Constants!$B$6)</f>
        <v>29.3088293586</v>
      </c>
    </row>
    <row r="155" customFormat="false" ht="15" hidden="false" customHeight="false" outlineLevel="0" collapsed="false">
      <c r="A155" s="4" t="s">
        <v>2921</v>
      </c>
      <c r="B155" s="4" t="s">
        <v>2706</v>
      </c>
      <c r="C155" s="4" t="s">
        <v>1464</v>
      </c>
      <c r="D155" s="4" t="n">
        <v>25</v>
      </c>
      <c r="E155" s="4" t="n">
        <v>0.15</v>
      </c>
      <c r="F155" s="4" t="s">
        <v>53</v>
      </c>
      <c r="G155" s="4" t="n">
        <v>8.5</v>
      </c>
      <c r="H155" s="4"/>
      <c r="I155" s="4" t="n">
        <v>0</v>
      </c>
      <c r="J155" s="4"/>
      <c r="K155" s="4" t="n">
        <v>0</v>
      </c>
      <c r="L155" s="24" t="n">
        <f aca="false">D155*(1+0.75*(IFERROR(G155*INDEX(Calculator!$E$6:$E$23,MATCH(F155,Calculator!$A$6:$A$23,0)),0)+IFERROR(I155*INDEX(Calculator!$E$6:$E$23,MATCH(H155,Calculator!$A$6:$A$23,0)),0)+IFERROR(K155*INDEX(Calculator!$E$6:$E$23,MATCH(J155,Calculator!$A$6:$A$23,0)),0))*(1+Constants!$B$23*Calculator!$C$27)/1000)*(1+Calculator!$C$45+Calculator!$C$37)*Calculator!$C$39*(1-(1-MIN(Calculator!$C$44,MIN(1,E155+Calculator!$E$6/10*Constants!$B$16+Calculator!$C$36+Calculator!$C$40+Constants!$B$24*Calculator!$C$27)))*Constants!$B$6)</f>
        <v>24.9135</v>
      </c>
    </row>
    <row r="156" customFormat="false" ht="15" hidden="false" customHeight="false" outlineLevel="0" collapsed="false">
      <c r="A156" s="4" t="s">
        <v>2922</v>
      </c>
      <c r="B156" s="4" t="s">
        <v>2693</v>
      </c>
      <c r="C156" s="4" t="s">
        <v>1464</v>
      </c>
      <c r="D156" s="4" t="n">
        <v>22</v>
      </c>
      <c r="E156" s="4" t="n">
        <v>0.2</v>
      </c>
      <c r="F156" s="4" t="s">
        <v>53</v>
      </c>
      <c r="G156" s="4" t="n">
        <v>7</v>
      </c>
      <c r="H156" s="4"/>
      <c r="I156" s="4" t="n">
        <v>0</v>
      </c>
      <c r="J156" s="4"/>
      <c r="K156" s="4" t="n">
        <v>0</v>
      </c>
      <c r="L156" s="24" t="n">
        <f aca="false">D156*(1+0.75*(IFERROR(G156*INDEX(Calculator!$E$6:$E$23,MATCH(F156,Calculator!$A$6:$A$23,0)),0)+IFERROR(I156*INDEX(Calculator!$E$6:$E$23,MATCH(H156,Calculator!$A$6:$A$23,0)),0)+IFERROR(K156*INDEX(Calculator!$E$6:$E$23,MATCH(J156,Calculator!$A$6:$A$23,0)),0))*(1+Constants!$B$23*Calculator!$C$27)/1000)*(1+Calculator!$C$45+Calculator!$C$37)*Calculator!$C$39*(1-(1-MIN(Calculator!$C$44,MIN(1,E156+Calculator!$E$6/10*Constants!$B$16+Calculator!$C$36+Calculator!$C$40+Constants!$B$24*Calculator!$C$27)))*Constants!$B$6)</f>
        <v>22.34463</v>
      </c>
    </row>
    <row r="157" customFormat="false" ht="15" hidden="false" customHeight="false" outlineLevel="0" collapsed="false">
      <c r="A157" s="4" t="s">
        <v>2923</v>
      </c>
      <c r="B157" s="4" t="s">
        <v>2729</v>
      </c>
      <c r="C157" s="4" t="s">
        <v>585</v>
      </c>
      <c r="D157" s="4" t="n">
        <v>12</v>
      </c>
      <c r="E157" s="4" t="n">
        <v>0.05</v>
      </c>
      <c r="F157" s="4" t="s">
        <v>57</v>
      </c>
      <c r="G157" s="4" t="n">
        <v>7</v>
      </c>
      <c r="H157" s="4"/>
      <c r="I157" s="4" t="n">
        <v>0</v>
      </c>
      <c r="J157" s="4"/>
      <c r="K157" s="4" t="n">
        <v>0</v>
      </c>
      <c r="L157" s="24" t="n">
        <f aca="false">D157*(1+0.75*(IFERROR(G157*INDEX(Calculator!$E$6:$E$23,MATCH(F157,Calculator!$A$6:$A$23,0)),0)+IFERROR(I157*INDEX(Calculator!$E$6:$E$23,MATCH(H157,Calculator!$A$6:$A$23,0)),0)+IFERROR(K157*INDEX(Calculator!$E$6:$E$23,MATCH(J157,Calculator!$A$6:$A$23,0)),0))*(1+Constants!$B$23*Calculator!$C$27)/1000)*(1+Calculator!$C$45+Calculator!$C$37)*Calculator!$C$39*(1-(1-MIN(Calculator!$C$44,MIN(1,E157+Calculator!$E$6/10*Constants!$B$16+Calculator!$C$36+Calculator!$C$40+Constants!$B$24*Calculator!$C$27)))*Constants!$B$6)</f>
        <v>11.49948</v>
      </c>
    </row>
    <row r="158" customFormat="false" ht="15" hidden="false" customHeight="false" outlineLevel="0" collapsed="false">
      <c r="A158" s="4" t="s">
        <v>2924</v>
      </c>
      <c r="B158" s="4" t="s">
        <v>2700</v>
      </c>
      <c r="C158" s="4" t="s">
        <v>2925</v>
      </c>
      <c r="D158" s="4" t="n">
        <v>22</v>
      </c>
      <c r="E158" s="4" t="n">
        <v>0.25</v>
      </c>
      <c r="F158" s="4" t="s">
        <v>53</v>
      </c>
      <c r="G158" s="4" t="n">
        <v>8.3</v>
      </c>
      <c r="H158" s="4"/>
      <c r="I158" s="4" t="n">
        <v>0</v>
      </c>
      <c r="J158" s="4"/>
      <c r="K158" s="4" t="n">
        <v>0</v>
      </c>
      <c r="L158" s="24" t="n">
        <f aca="false">D158*(1+0.75*(IFERROR(G158*INDEX(Calculator!$E$6:$E$23,MATCH(F158,Calculator!$A$6:$A$23,0)),0)+IFERROR(I158*INDEX(Calculator!$E$6:$E$23,MATCH(H158,Calculator!$A$6:$A$23,0)),0)+IFERROR(K158*INDEX(Calculator!$E$6:$E$23,MATCH(J158,Calculator!$A$6:$A$23,0)),0))*(1+Constants!$B$23*Calculator!$C$27)/1000)*(1+Calculator!$C$45+Calculator!$C$37)*Calculator!$C$39*(1-(1-MIN(Calculator!$C$44,MIN(1,E158+Calculator!$E$6/10*Constants!$B$16+Calculator!$C$36+Calculator!$C$40+Constants!$B$24*Calculator!$C$27)))*Constants!$B$6)</f>
        <v>22.76538</v>
      </c>
    </row>
    <row r="159" customFormat="false" ht="15" hidden="false" customHeight="false" outlineLevel="0" collapsed="false">
      <c r="A159" s="4" t="s">
        <v>2926</v>
      </c>
      <c r="B159" s="4" t="s">
        <v>2718</v>
      </c>
      <c r="C159" s="4" t="s">
        <v>2217</v>
      </c>
      <c r="D159" s="4" t="n">
        <v>18</v>
      </c>
      <c r="E159" s="4" t="n">
        <v>0</v>
      </c>
      <c r="F159" s="4" t="s">
        <v>57</v>
      </c>
      <c r="G159" s="4" t="n">
        <v>7.5</v>
      </c>
      <c r="H159" s="4"/>
      <c r="I159" s="4" t="n">
        <v>0</v>
      </c>
      <c r="J159" s="4"/>
      <c r="K159" s="4" t="n">
        <v>0</v>
      </c>
      <c r="L159" s="24" t="n">
        <f aca="false">D159*(1+0.75*(IFERROR(G159*INDEX(Calculator!$E$6:$E$23,MATCH(F159,Calculator!$A$6:$A$23,0)),0)+IFERROR(I159*INDEX(Calculator!$E$6:$E$23,MATCH(H159,Calculator!$A$6:$A$23,0)),0)+IFERROR(K159*INDEX(Calculator!$E$6:$E$23,MATCH(J159,Calculator!$A$6:$A$23,0)),0))*(1+Constants!$B$23*Calculator!$C$27)/1000)*(1+Calculator!$C$45+Calculator!$C$37)*Calculator!$C$39*(1-(1-MIN(Calculator!$C$44,MIN(1,E159+Calculator!$E$6/10*Constants!$B$16+Calculator!$C$36+Calculator!$C$40+Constants!$B$24*Calculator!$C$27)))*Constants!$B$6)</f>
        <v>16.90497</v>
      </c>
    </row>
    <row r="160" customFormat="false" ht="15" hidden="false" customHeight="false" outlineLevel="0" collapsed="false">
      <c r="A160" s="4" t="s">
        <v>2927</v>
      </c>
      <c r="B160" s="4" t="s">
        <v>2698</v>
      </c>
      <c r="C160" s="4" t="s">
        <v>2640</v>
      </c>
      <c r="D160" s="4" t="n">
        <v>18</v>
      </c>
      <c r="E160" s="4" t="n">
        <v>0.25</v>
      </c>
      <c r="F160" s="4" t="s">
        <v>55</v>
      </c>
      <c r="G160" s="4" t="n">
        <v>8</v>
      </c>
      <c r="H160" s="4"/>
      <c r="I160" s="4" t="n">
        <v>0</v>
      </c>
      <c r="J160" s="4"/>
      <c r="K160" s="4" t="n">
        <v>0</v>
      </c>
      <c r="L160" s="24" t="n">
        <f aca="false">D160*(1+0.75*(IFERROR(G160*INDEX(Calculator!$E$6:$E$23,MATCH(F160,Calculator!$A$6:$A$23,0)),0)+IFERROR(I160*INDEX(Calculator!$E$6:$E$23,MATCH(H160,Calculator!$A$6:$A$23,0)),0)+IFERROR(K160*INDEX(Calculator!$E$6:$E$23,MATCH(J160,Calculator!$A$6:$A$23,0)),0))*(1+Constants!$B$23*Calculator!$C$27)/1000)*(1+Calculator!$C$45+Calculator!$C$37)*Calculator!$C$39*(1-(1-MIN(Calculator!$C$44,MIN(1,E160+Calculator!$E$6/10*Constants!$B$16+Calculator!$C$36+Calculator!$C$40+Constants!$B$24*Calculator!$C$27)))*Constants!$B$6)</f>
        <v>31.5811285344</v>
      </c>
    </row>
    <row r="161" customFormat="false" ht="15" hidden="false" customHeight="false" outlineLevel="0" collapsed="false">
      <c r="A161" s="4" t="s">
        <v>2928</v>
      </c>
      <c r="B161" s="4" t="s">
        <v>2690</v>
      </c>
      <c r="C161" s="4" t="s">
        <v>2929</v>
      </c>
      <c r="D161" s="4" t="n">
        <v>16</v>
      </c>
      <c r="E161" s="4" t="n">
        <v>0.25</v>
      </c>
      <c r="F161" s="4" t="s">
        <v>55</v>
      </c>
      <c r="G161" s="4" t="n">
        <v>2.5</v>
      </c>
      <c r="H161" s="4" t="s">
        <v>73</v>
      </c>
      <c r="I161" s="4" t="n">
        <v>2</v>
      </c>
      <c r="J161" s="4" t="s">
        <v>71</v>
      </c>
      <c r="K161" s="4" t="n">
        <v>3</v>
      </c>
      <c r="L161" s="24" t="n">
        <f aca="false">D161*(1+0.75*(IFERROR(G161*INDEX(Calculator!$E$6:$E$23,MATCH(F161,Calculator!$A$6:$A$23,0)),0)+IFERROR(I161*INDEX(Calculator!$E$6:$E$23,MATCH(H161,Calculator!$A$6:$A$23,0)),0)+IFERROR(K161*INDEX(Calculator!$E$6:$E$23,MATCH(J161,Calculator!$A$6:$A$23,0)),0))*(1+Constants!$B$23*Calculator!$C$27)/1000)*(1+Calculator!$C$45+Calculator!$C$37)*Calculator!$C$39*(1-(1-MIN(Calculator!$C$44,MIN(1,E161+Calculator!$E$6/10*Constants!$B$16+Calculator!$C$36+Calculator!$C$40+Constants!$B$24*Calculator!$C$27)))*Constants!$B$6)</f>
        <v>20.937526944</v>
      </c>
    </row>
    <row r="162" customFormat="false" ht="15" hidden="false" customHeight="false" outlineLevel="0" collapsed="false">
      <c r="A162" s="4" t="s">
        <v>2930</v>
      </c>
      <c r="B162" s="4" t="s">
        <v>2693</v>
      </c>
      <c r="C162" s="4" t="s">
        <v>1464</v>
      </c>
      <c r="D162" s="4" t="n">
        <v>25</v>
      </c>
      <c r="E162" s="4" t="n">
        <v>0.25</v>
      </c>
      <c r="F162" s="4" t="s">
        <v>53</v>
      </c>
      <c r="G162" s="4" t="n">
        <v>9</v>
      </c>
      <c r="H162" s="4"/>
      <c r="I162" s="4" t="n">
        <v>0</v>
      </c>
      <c r="J162" s="4"/>
      <c r="K162" s="4" t="n">
        <v>0</v>
      </c>
      <c r="L162" s="24" t="n">
        <f aca="false">D162*(1+0.75*(IFERROR(G162*INDEX(Calculator!$E$6:$E$23,MATCH(F162,Calculator!$A$6:$A$23,0)),0)+IFERROR(I162*INDEX(Calculator!$E$6:$E$23,MATCH(H162,Calculator!$A$6:$A$23,0)),0)+IFERROR(K162*INDEX(Calculator!$E$6:$E$23,MATCH(J162,Calculator!$A$6:$A$23,0)),0))*(1+Constants!$B$23*Calculator!$C$27)/1000)*(1+Calculator!$C$45+Calculator!$C$37)*Calculator!$C$39*(1-(1-MIN(Calculator!$C$44,MIN(1,E162+Calculator!$E$6/10*Constants!$B$16+Calculator!$C$36+Calculator!$C$40+Constants!$B$24*Calculator!$C$27)))*Constants!$B$6)</f>
        <v>25.86975</v>
      </c>
    </row>
    <row r="163" customFormat="false" ht="15" hidden="false" customHeight="false" outlineLevel="0" collapsed="false">
      <c r="A163" s="4" t="s">
        <v>2931</v>
      </c>
      <c r="B163" s="4" t="s">
        <v>2703</v>
      </c>
      <c r="C163" s="4" t="s">
        <v>2781</v>
      </c>
      <c r="D163" s="4" t="n">
        <v>14</v>
      </c>
      <c r="E163" s="4" t="n">
        <v>0</v>
      </c>
      <c r="F163" s="4" t="s">
        <v>57</v>
      </c>
      <c r="G163" s="4" t="n">
        <v>12</v>
      </c>
      <c r="H163" s="4"/>
      <c r="I163" s="4" t="n">
        <v>0</v>
      </c>
      <c r="J163" s="4"/>
      <c r="K163" s="4" t="n">
        <v>0</v>
      </c>
      <c r="L163" s="24" t="n">
        <f aca="false">D163*(1+0.75*(IFERROR(G163*INDEX(Calculator!$E$6:$E$23,MATCH(F163,Calculator!$A$6:$A$23,0)),0)+IFERROR(I163*INDEX(Calculator!$E$6:$E$23,MATCH(H163,Calculator!$A$6:$A$23,0)),0)+IFERROR(K163*INDEX(Calculator!$E$6:$E$23,MATCH(J163,Calculator!$A$6:$A$23,0)),0))*(1+Constants!$B$23*Calculator!$C$27)/1000)*(1+Calculator!$C$45+Calculator!$C$37)*Calculator!$C$39*(1-(1-MIN(Calculator!$C$44,MIN(1,E163+Calculator!$E$6/10*Constants!$B$16+Calculator!$C$36+Calculator!$C$40+Constants!$B$24*Calculator!$C$27)))*Constants!$B$6)</f>
        <v>13.14831</v>
      </c>
    </row>
    <row r="164" customFormat="false" ht="15" hidden="false" customHeight="false" outlineLevel="0" collapsed="false">
      <c r="A164" s="4" t="s">
        <v>2932</v>
      </c>
      <c r="B164" s="4" t="s">
        <v>2933</v>
      </c>
      <c r="C164" s="4" t="s">
        <v>1712</v>
      </c>
      <c r="D164" s="4" t="n">
        <v>21</v>
      </c>
      <c r="E164" s="4" t="n">
        <v>0.25</v>
      </c>
      <c r="F164" s="4" t="s">
        <v>55</v>
      </c>
      <c r="G164" s="4" t="n">
        <v>7</v>
      </c>
      <c r="H164" s="4"/>
      <c r="I164" s="4" t="n">
        <v>0</v>
      </c>
      <c r="J164" s="4"/>
      <c r="K164" s="4" t="n">
        <v>0</v>
      </c>
      <c r="L164" s="24" t="n">
        <f aca="false">D164*(1+0.75*(IFERROR(G164*INDEX(Calculator!$E$6:$E$23,MATCH(F164,Calculator!$A$6:$A$23,0)),0)+IFERROR(I164*INDEX(Calculator!$E$6:$E$23,MATCH(H164,Calculator!$A$6:$A$23,0)),0)+IFERROR(K164*INDEX(Calculator!$E$6:$E$23,MATCH(J164,Calculator!$A$6:$A$23,0)),0))*(1+Constants!$B$23*Calculator!$C$27)/1000)*(1+Calculator!$C$45+Calculator!$C$37)*Calculator!$C$39*(1-(1-MIN(Calculator!$C$44,MIN(1,E164+Calculator!$E$6/10*Constants!$B$16+Calculator!$C$36+Calculator!$C$40+Constants!$B$24*Calculator!$C$27)))*Constants!$B$6)</f>
        <v>34.9553924622</v>
      </c>
    </row>
    <row r="165" customFormat="false" ht="15" hidden="false" customHeight="false" outlineLevel="0" collapsed="false">
      <c r="A165" s="4" t="s">
        <v>2934</v>
      </c>
      <c r="B165" s="4" t="s">
        <v>2726</v>
      </c>
      <c r="C165" s="4" t="s">
        <v>2935</v>
      </c>
      <c r="D165" s="4" t="n">
        <v>16.5</v>
      </c>
      <c r="E165" s="4" t="n">
        <v>0.05</v>
      </c>
      <c r="F165" s="4" t="s">
        <v>57</v>
      </c>
      <c r="G165" s="4" t="n">
        <v>5</v>
      </c>
      <c r="H165" s="4" t="s">
        <v>61</v>
      </c>
      <c r="I165" s="4" t="n">
        <v>3.5</v>
      </c>
      <c r="J165" s="4" t="s">
        <v>65</v>
      </c>
      <c r="K165" s="4" t="n">
        <v>3.5</v>
      </c>
      <c r="L165" s="24" t="n">
        <f aca="false">D165*(1+0.75*(IFERROR(G165*INDEX(Calculator!$E$6:$E$23,MATCH(F165,Calculator!$A$6:$A$23,0)),0)+IFERROR(I165*INDEX(Calculator!$E$6:$E$23,MATCH(H165,Calculator!$A$6:$A$23,0)),0)+IFERROR(K165*INDEX(Calculator!$E$6:$E$23,MATCH(J165,Calculator!$A$6:$A$23,0)),0))*(1+Constants!$B$23*Calculator!$C$27)/1000)*(1+Calculator!$C$45+Calculator!$C$37)*Calculator!$C$39*(1-(1-MIN(Calculator!$C$44,MIN(1,E165+Calculator!$E$6/10*Constants!$B$16+Calculator!$C$36+Calculator!$C$40+Constants!$B$24*Calculator!$C$27)))*Constants!$B$6)</f>
        <v>15.811785</v>
      </c>
    </row>
    <row r="166" customFormat="false" ht="15" hidden="false" customHeight="false" outlineLevel="0" collapsed="false">
      <c r="A166" s="4" t="s">
        <v>2936</v>
      </c>
      <c r="B166" s="4" t="s">
        <v>2698</v>
      </c>
      <c r="C166" s="4" t="s">
        <v>2937</v>
      </c>
      <c r="D166" s="4" t="n">
        <v>19.5</v>
      </c>
      <c r="E166" s="4" t="n">
        <v>0.15</v>
      </c>
      <c r="F166" s="4" t="s">
        <v>55</v>
      </c>
      <c r="G166" s="4" t="n">
        <v>4</v>
      </c>
      <c r="H166" s="4" t="s">
        <v>63</v>
      </c>
      <c r="I166" s="4" t="n">
        <v>3</v>
      </c>
      <c r="J166" s="4"/>
      <c r="K166" s="4" t="n">
        <v>0</v>
      </c>
      <c r="L166" s="24" t="n">
        <f aca="false">D166*(1+0.75*(IFERROR(G166*INDEX(Calculator!$E$6:$E$23,MATCH(F166,Calculator!$A$6:$A$23,0)),0)+IFERROR(I166*INDEX(Calculator!$E$6:$E$23,MATCH(H166,Calculator!$A$6:$A$23,0)),0)+IFERROR(K166*INDEX(Calculator!$E$6:$E$23,MATCH(J166,Calculator!$A$6:$A$23,0)),0))*(1+Constants!$B$23*Calculator!$C$27)/1000)*(1+Calculator!$C$45+Calculator!$C$37)*Calculator!$C$39*(1-(1-MIN(Calculator!$C$44,MIN(1,E166+Calculator!$E$6/10*Constants!$B$16+Calculator!$C$36+Calculator!$C$40+Constants!$B$24*Calculator!$C$27)))*Constants!$B$6)</f>
        <v>27.4023935289</v>
      </c>
    </row>
    <row r="167" customFormat="false" ht="15" hidden="false" customHeight="false" outlineLevel="0" collapsed="false">
      <c r="A167" s="4" t="s">
        <v>2938</v>
      </c>
      <c r="B167" s="4" t="s">
        <v>2690</v>
      </c>
      <c r="C167" s="4" t="s">
        <v>893</v>
      </c>
      <c r="D167" s="4" t="n">
        <v>25</v>
      </c>
      <c r="E167" s="4" t="n">
        <v>0.25</v>
      </c>
      <c r="F167" s="4" t="s">
        <v>55</v>
      </c>
      <c r="G167" s="4" t="n">
        <v>7</v>
      </c>
      <c r="H167" s="4"/>
      <c r="I167" s="4" t="n">
        <v>0</v>
      </c>
      <c r="J167" s="4"/>
      <c r="K167" s="4" t="n">
        <v>0</v>
      </c>
      <c r="L167" s="24" t="n">
        <f aca="false">D167*(1+0.75*(IFERROR(G167*INDEX(Calculator!$E$6:$E$23,MATCH(F167,Calculator!$A$6:$A$23,0)),0)+IFERROR(I167*INDEX(Calculator!$E$6:$E$23,MATCH(H167,Calculator!$A$6:$A$23,0)),0)+IFERROR(K167*INDEX(Calculator!$E$6:$E$23,MATCH(J167,Calculator!$A$6:$A$23,0)),0))*(1+Constants!$B$23*Calculator!$C$27)/1000)*(1+Calculator!$C$45+Calculator!$C$37)*Calculator!$C$39*(1-(1-MIN(Calculator!$C$44,MIN(1,E167+Calculator!$E$6/10*Constants!$B$16+Calculator!$C$36+Calculator!$C$40+Constants!$B$24*Calculator!$C$27)))*Constants!$B$6)</f>
        <v>41.613562455</v>
      </c>
    </row>
    <row r="168" customFormat="false" ht="15" hidden="false" customHeight="false" outlineLevel="0" collapsed="false">
      <c r="A168" s="4" t="s">
        <v>2939</v>
      </c>
      <c r="B168" s="4" t="s">
        <v>2690</v>
      </c>
      <c r="C168" s="4" t="s">
        <v>893</v>
      </c>
      <c r="D168" s="4" t="n">
        <v>19</v>
      </c>
      <c r="E168" s="4" t="n">
        <v>0.25</v>
      </c>
      <c r="F168" s="4" t="s">
        <v>55</v>
      </c>
      <c r="G168" s="4" t="n">
        <v>5</v>
      </c>
      <c r="H168" s="4"/>
      <c r="I168" s="4" t="n">
        <v>0</v>
      </c>
      <c r="J168" s="4"/>
      <c r="K168" s="4" t="n">
        <v>0</v>
      </c>
      <c r="L168" s="24" t="n">
        <f aca="false">D168*(1+0.75*(IFERROR(G168*INDEX(Calculator!$E$6:$E$23,MATCH(F168,Calculator!$A$6:$A$23,0)),0)+IFERROR(I168*INDEX(Calculator!$E$6:$E$23,MATCH(H168,Calculator!$A$6:$A$23,0)),0)+IFERROR(K168*INDEX(Calculator!$E$6:$E$23,MATCH(J168,Calculator!$A$6:$A$23,0)),0))*(1+Constants!$B$23*Calculator!$C$27)/1000)*(1+Calculator!$C$45+Calculator!$C$37)*Calculator!$C$39*(1-(1-MIN(Calculator!$C$44,MIN(1,E168+Calculator!$E$6/10*Constants!$B$16+Calculator!$C$36+Calculator!$C$40+Constants!$B$24*Calculator!$C$27)))*Constants!$B$6)</f>
        <v>28.207651047</v>
      </c>
    </row>
    <row r="169" customFormat="false" ht="15" hidden="false" customHeight="false" outlineLevel="0" collapsed="false">
      <c r="A169" s="4" t="s">
        <v>2940</v>
      </c>
      <c r="B169" s="4" t="s">
        <v>2706</v>
      </c>
      <c r="C169" s="4" t="s">
        <v>2811</v>
      </c>
      <c r="D169" s="4" t="n">
        <v>25</v>
      </c>
      <c r="E169" s="4" t="n">
        <v>0</v>
      </c>
      <c r="F169" s="4" t="s">
        <v>53</v>
      </c>
      <c r="G169" s="4" t="n">
        <v>7.5</v>
      </c>
      <c r="H169" s="4"/>
      <c r="I169" s="4" t="n">
        <v>0</v>
      </c>
      <c r="J169" s="4"/>
      <c r="K169" s="4" t="n">
        <v>0</v>
      </c>
      <c r="L169" s="24" t="n">
        <f aca="false">D169*(1+0.75*(IFERROR(G169*INDEX(Calculator!$E$6:$E$23,MATCH(F169,Calculator!$A$6:$A$23,0)),0)+IFERROR(I169*INDEX(Calculator!$E$6:$E$23,MATCH(H169,Calculator!$A$6:$A$23,0)),0)+IFERROR(K169*INDEX(Calculator!$E$6:$E$23,MATCH(J169,Calculator!$A$6:$A$23,0)),0))*(1+Constants!$B$23*Calculator!$C$27)/1000)*(1+Calculator!$C$45+Calculator!$C$37)*Calculator!$C$39*(1-(1-MIN(Calculator!$C$44,MIN(1,E169+Calculator!$E$6/10*Constants!$B$16+Calculator!$C$36+Calculator!$C$40+Constants!$B$24*Calculator!$C$27)))*Constants!$B$6)</f>
        <v>23.479125</v>
      </c>
    </row>
    <row r="170" customFormat="false" ht="15" hidden="false" customHeight="false" outlineLevel="0" collapsed="false">
      <c r="A170" s="4" t="s">
        <v>2941</v>
      </c>
      <c r="B170" s="4" t="s">
        <v>2860</v>
      </c>
      <c r="C170" s="4" t="s">
        <v>2942</v>
      </c>
      <c r="D170" s="4" t="n">
        <v>19</v>
      </c>
      <c r="E170" s="4" t="n">
        <v>0.1</v>
      </c>
      <c r="F170" s="4" t="s">
        <v>55</v>
      </c>
      <c r="G170" s="4" t="n">
        <v>3</v>
      </c>
      <c r="H170" s="4" t="s">
        <v>59</v>
      </c>
      <c r="I170" s="4" t="n">
        <v>4</v>
      </c>
      <c r="J170" s="4"/>
      <c r="K170" s="4" t="n">
        <v>0</v>
      </c>
      <c r="L170" s="24" t="n">
        <f aca="false">D170*(1+0.75*(IFERROR(G170*INDEX(Calculator!$E$6:$E$23,MATCH(F170,Calculator!$A$6:$A$23,0)),0)+IFERROR(I170*INDEX(Calculator!$E$6:$E$23,MATCH(H170,Calculator!$A$6:$A$23,0)),0)+IFERROR(K170*INDEX(Calculator!$E$6:$E$23,MATCH(J170,Calculator!$A$6:$A$23,0)),0))*(1+Constants!$B$23*Calculator!$C$27)/1000)*(1+Calculator!$C$45+Calculator!$C$37)*Calculator!$C$39*(1-(1-MIN(Calculator!$C$44,MIN(1,E170+Calculator!$E$6/10*Constants!$B$16+Calculator!$C$36+Calculator!$C$40+Constants!$B$24*Calculator!$C$27)))*Constants!$B$6)</f>
        <v>23.4145432257</v>
      </c>
    </row>
    <row r="171" customFormat="false" ht="15" hidden="false" customHeight="false" outlineLevel="0" collapsed="false">
      <c r="A171" s="4" t="s">
        <v>2943</v>
      </c>
      <c r="B171" s="4" t="s">
        <v>2860</v>
      </c>
      <c r="C171" s="4" t="s">
        <v>1712</v>
      </c>
      <c r="D171" s="4" t="n">
        <v>18</v>
      </c>
      <c r="E171" s="4" t="n">
        <v>0</v>
      </c>
      <c r="F171" s="4" t="s">
        <v>55</v>
      </c>
      <c r="G171" s="4" t="n">
        <v>8</v>
      </c>
      <c r="H171" s="4"/>
      <c r="I171" s="4" t="n">
        <v>0</v>
      </c>
      <c r="J171" s="4"/>
      <c r="K171" s="4" t="n">
        <v>0</v>
      </c>
      <c r="L171" s="24" t="n">
        <f aca="false">D171*(1+0.75*(IFERROR(G171*INDEX(Calculator!$E$6:$E$23,MATCH(F171,Calculator!$A$6:$A$23,0)),0)+IFERROR(I171*INDEX(Calculator!$E$6:$E$23,MATCH(H171,Calculator!$A$6:$A$23,0)),0)+IFERROR(K171*INDEX(Calculator!$E$6:$E$23,MATCH(J171,Calculator!$A$6:$A$23,0)),0))*(1+Constants!$B$23*Calculator!$C$27)/1000)*(1+Calculator!$C$45+Calculator!$C$37)*Calculator!$C$39*(1-(1-MIN(Calculator!$C$44,MIN(1,E171+Calculator!$E$6/10*Constants!$B$16+Calculator!$C$36+Calculator!$C$40+Constants!$B$24*Calculator!$C$27)))*Constants!$B$6)</f>
        <v>28.6627147344</v>
      </c>
    </row>
    <row r="172" customFormat="false" ht="15" hidden="false" customHeight="false" outlineLevel="0" collapsed="false">
      <c r="A172" s="4" t="s">
        <v>2944</v>
      </c>
      <c r="B172" s="4" t="s">
        <v>2703</v>
      </c>
      <c r="C172" s="4" t="s">
        <v>1618</v>
      </c>
      <c r="D172" s="4" t="n">
        <v>16</v>
      </c>
      <c r="E172" s="4" t="n">
        <v>0</v>
      </c>
      <c r="F172" s="4" t="s">
        <v>57</v>
      </c>
      <c r="G172" s="4" t="n">
        <v>11</v>
      </c>
      <c r="H172" s="4"/>
      <c r="I172" s="4" t="n">
        <v>0</v>
      </c>
      <c r="J172" s="4"/>
      <c r="K172" s="4" t="n">
        <v>0</v>
      </c>
      <c r="L172" s="24" t="n">
        <f aca="false">D172*(1+0.75*(IFERROR(G172*INDEX(Calculator!$E$6:$E$23,MATCH(F172,Calculator!$A$6:$A$23,0)),0)+IFERROR(I172*INDEX(Calculator!$E$6:$E$23,MATCH(H172,Calculator!$A$6:$A$23,0)),0)+IFERROR(K172*INDEX(Calculator!$E$6:$E$23,MATCH(J172,Calculator!$A$6:$A$23,0)),0))*(1+Constants!$B$23*Calculator!$C$27)/1000)*(1+Calculator!$C$45+Calculator!$C$37)*Calculator!$C$39*(1-(1-MIN(Calculator!$C$44,MIN(1,E172+Calculator!$E$6/10*Constants!$B$16+Calculator!$C$36+Calculator!$C$40+Constants!$B$24*Calculator!$C$27)))*Constants!$B$6)</f>
        <v>15.02664</v>
      </c>
    </row>
    <row r="173" customFormat="false" ht="15" hidden="false" customHeight="false" outlineLevel="0" collapsed="false">
      <c r="A173" s="4" t="s">
        <v>2945</v>
      </c>
      <c r="B173" s="4" t="s">
        <v>2891</v>
      </c>
      <c r="C173" s="4" t="s">
        <v>2714</v>
      </c>
      <c r="D173" s="4" t="n">
        <v>19.5</v>
      </c>
      <c r="E173" s="4" t="n">
        <v>0.15</v>
      </c>
      <c r="F173" s="4" t="s">
        <v>55</v>
      </c>
      <c r="G173" s="4" t="n">
        <v>7</v>
      </c>
      <c r="H173" s="4"/>
      <c r="I173" s="4" t="n">
        <v>0</v>
      </c>
      <c r="J173" s="4"/>
      <c r="K173" s="4" t="n">
        <v>0</v>
      </c>
      <c r="L173" s="24" t="n">
        <f aca="false">D173*(1+0.75*(IFERROR(G173*INDEX(Calculator!$E$6:$E$23,MATCH(F173,Calculator!$A$6:$A$23,0)),0)+IFERROR(I173*INDEX(Calculator!$E$6:$E$23,MATCH(H173,Calculator!$A$6:$A$23,0)),0)+IFERROR(K173*INDEX(Calculator!$E$6:$E$23,MATCH(J173,Calculator!$A$6:$A$23,0)),0))*(1+Constants!$B$23*Calculator!$C$27)/1000)*(1+Calculator!$C$45+Calculator!$C$37)*Calculator!$C$39*(1-(1-MIN(Calculator!$C$44,MIN(1,E173+Calculator!$E$6/10*Constants!$B$16+Calculator!$C$36+Calculator!$C$40+Constants!$B$24*Calculator!$C$27)))*Constants!$B$6)</f>
        <v>31.2587791074</v>
      </c>
    </row>
    <row r="174" customFormat="false" ht="15" hidden="false" customHeight="false" outlineLevel="0" collapsed="false">
      <c r="A174" s="4" t="s">
        <v>2946</v>
      </c>
      <c r="B174" s="4" t="s">
        <v>2706</v>
      </c>
      <c r="C174" s="4" t="s">
        <v>2947</v>
      </c>
      <c r="D174" s="4" t="n">
        <v>20</v>
      </c>
      <c r="E174" s="4" t="n">
        <v>0</v>
      </c>
      <c r="F174" s="4" t="s">
        <v>53</v>
      </c>
      <c r="G174" s="4" t="n">
        <v>7</v>
      </c>
      <c r="H174" s="4"/>
      <c r="I174" s="4" t="n">
        <v>0</v>
      </c>
      <c r="J174" s="4"/>
      <c r="K174" s="4" t="n">
        <v>0</v>
      </c>
      <c r="L174" s="24" t="n">
        <f aca="false">D174*(1+0.75*(IFERROR(G174*INDEX(Calculator!$E$6:$E$23,MATCH(F174,Calculator!$A$6:$A$23,0)),0)+IFERROR(I174*INDEX(Calculator!$E$6:$E$23,MATCH(H174,Calculator!$A$6:$A$23,0)),0)+IFERROR(K174*INDEX(Calculator!$E$6:$E$23,MATCH(J174,Calculator!$A$6:$A$23,0)),0))*(1+Constants!$B$23*Calculator!$C$27)/1000)*(1+Calculator!$C$45+Calculator!$C$37)*Calculator!$C$39*(1-(1-MIN(Calculator!$C$44,MIN(1,E174+Calculator!$E$6/10*Constants!$B$16+Calculator!$C$36+Calculator!$C$40+Constants!$B$24*Calculator!$C$27)))*Constants!$B$6)</f>
        <v>18.7833</v>
      </c>
    </row>
    <row r="175" customFormat="false" ht="15" hidden="false" customHeight="false" outlineLevel="0" collapsed="false">
      <c r="A175" s="4" t="s">
        <v>2948</v>
      </c>
      <c r="B175" s="4" t="s">
        <v>2698</v>
      </c>
      <c r="C175" s="4" t="s">
        <v>1120</v>
      </c>
      <c r="D175" s="4" t="n">
        <v>28</v>
      </c>
      <c r="E175" s="4" t="n">
        <v>0.1</v>
      </c>
      <c r="F175" s="4"/>
      <c r="G175" s="4" t="n">
        <v>0</v>
      </c>
      <c r="H175" s="4"/>
      <c r="I175" s="4" t="n">
        <v>0</v>
      </c>
      <c r="J175" s="4"/>
      <c r="K175" s="4" t="n">
        <v>0</v>
      </c>
      <c r="L175" s="24" t="n">
        <f aca="false">D175*(1+0.75*(IFERROR(G175*INDEX(Calculator!$E$6:$E$23,MATCH(F175,Calculator!$A$6:$A$23,0)),0)+IFERROR(I175*INDEX(Calculator!$E$6:$E$23,MATCH(H175,Calculator!$A$6:$A$23,0)),0)+IFERROR(K175*INDEX(Calculator!$E$6:$E$23,MATCH(J175,Calculator!$A$6:$A$23,0)),0))*(1+Constants!$B$23*Calculator!$C$27)/1000)*(1+Calculator!$C$45+Calculator!$C$37)*Calculator!$C$39*(1-(1-MIN(Calculator!$C$44,MIN(1,E175+Calculator!$E$6/10*Constants!$B$16+Calculator!$C$36+Calculator!$C$40+Constants!$B$24*Calculator!$C$27)))*Constants!$B$6)</f>
        <v>27.36762</v>
      </c>
    </row>
    <row r="176" customFormat="false" ht="15" hidden="false" customHeight="false" outlineLevel="0" collapsed="false">
      <c r="A176" s="4" t="s">
        <v>2949</v>
      </c>
      <c r="B176" s="4" t="s">
        <v>2786</v>
      </c>
      <c r="C176" s="4" t="s">
        <v>680</v>
      </c>
      <c r="D176" s="4" t="n">
        <v>19.5</v>
      </c>
      <c r="E176" s="4" t="n">
        <v>0.15</v>
      </c>
      <c r="F176" s="4" t="s">
        <v>55</v>
      </c>
      <c r="G176" s="4" t="n">
        <v>8</v>
      </c>
      <c r="H176" s="4"/>
      <c r="I176" s="4" t="n">
        <v>0</v>
      </c>
      <c r="J176" s="4"/>
      <c r="K176" s="4" t="n">
        <v>0</v>
      </c>
      <c r="L176" s="24" t="n">
        <f aca="false">D176*(1+0.75*(IFERROR(G176*INDEX(Calculator!$E$6:$E$23,MATCH(F176,Calculator!$A$6:$A$23,0)),0)+IFERROR(I176*INDEX(Calculator!$E$6:$E$23,MATCH(H176,Calculator!$A$6:$A$23,0)),0)+IFERROR(K176*INDEX(Calculator!$E$6:$E$23,MATCH(J176,Calculator!$A$6:$A$23,0)),0))*(1+Constants!$B$23*Calculator!$C$27)/1000)*(1+Calculator!$C$45+Calculator!$C$37)*Calculator!$C$39*(1-(1-MIN(Calculator!$C$44,MIN(1,E176+Calculator!$E$6/10*Constants!$B$16+Calculator!$C$36+Calculator!$C$40+Constants!$B$24*Calculator!$C$27)))*Constants!$B$6)</f>
        <v>32.9482432656</v>
      </c>
    </row>
    <row r="177" customFormat="false" ht="15" hidden="false" customHeight="false" outlineLevel="0" collapsed="false">
      <c r="A177" s="4" t="s">
        <v>2950</v>
      </c>
      <c r="B177" s="4" t="s">
        <v>2718</v>
      </c>
      <c r="C177" s="4" t="s">
        <v>2951</v>
      </c>
      <c r="D177" s="4" t="n">
        <v>13.5</v>
      </c>
      <c r="E177" s="4" t="n">
        <v>0.2</v>
      </c>
      <c r="F177" s="4" t="s">
        <v>57</v>
      </c>
      <c r="G177" s="4" t="n">
        <v>6.5</v>
      </c>
      <c r="H177" s="4" t="s">
        <v>71</v>
      </c>
      <c r="I177" s="4" t="n">
        <v>4</v>
      </c>
      <c r="J177" s="4"/>
      <c r="K177" s="4" t="n">
        <v>0</v>
      </c>
      <c r="L177" s="24" t="n">
        <f aca="false">D177*(1+0.75*(IFERROR(G177*INDEX(Calculator!$E$6:$E$23,MATCH(F177,Calculator!$A$6:$A$23,0)),0)+IFERROR(I177*INDEX(Calculator!$E$6:$E$23,MATCH(H177,Calculator!$A$6:$A$23,0)),0)+IFERROR(K177*INDEX(Calculator!$E$6:$E$23,MATCH(J177,Calculator!$A$6:$A$23,0)),0))*(1+Constants!$B$23*Calculator!$C$27)/1000)*(1+Calculator!$C$45+Calculator!$C$37)*Calculator!$C$39*(1-(1-MIN(Calculator!$C$44,MIN(1,E177+Calculator!$E$6/10*Constants!$B$16+Calculator!$C$36+Calculator!$C$40+Constants!$B$24*Calculator!$C$27)))*Constants!$B$6)</f>
        <v>13.7114775</v>
      </c>
    </row>
    <row r="178" customFormat="false" ht="15" hidden="false" customHeight="false" outlineLevel="0" collapsed="false">
      <c r="A178" s="4" t="s">
        <v>2952</v>
      </c>
      <c r="B178" s="4" t="s">
        <v>1190</v>
      </c>
      <c r="C178" s="4" t="s">
        <v>2691</v>
      </c>
      <c r="D178" s="4" t="n">
        <v>17.5</v>
      </c>
      <c r="E178" s="4" t="n">
        <v>0.1</v>
      </c>
      <c r="F178" s="4" t="s">
        <v>55</v>
      </c>
      <c r="G178" s="4" t="n">
        <v>5</v>
      </c>
      <c r="H178" s="4"/>
      <c r="I178" s="4" t="n">
        <v>0</v>
      </c>
      <c r="J178" s="4"/>
      <c r="K178" s="4" t="n">
        <v>0</v>
      </c>
      <c r="L178" s="24" t="n">
        <f aca="false">D178*(1+0.75*(IFERROR(G178*INDEX(Calculator!$E$6:$E$23,MATCH(F178,Calculator!$A$6:$A$23,0)),0)+IFERROR(I178*INDEX(Calculator!$E$6:$E$23,MATCH(H178,Calculator!$A$6:$A$23,0)),0)+IFERROR(K178*INDEX(Calculator!$E$6:$E$23,MATCH(J178,Calculator!$A$6:$A$23,0)),0))*(1+Constants!$B$23*Calculator!$C$27)/1000)*(1+Calculator!$C$45+Calculator!$C$37)*Calculator!$C$39*(1-(1-MIN(Calculator!$C$44,MIN(1,E178+Calculator!$E$6/10*Constants!$B$16+Calculator!$C$36+Calculator!$C$40+Constants!$B$24*Calculator!$C$27)))*Constants!$B$6)</f>
        <v>24.54020275875</v>
      </c>
    </row>
    <row r="179" customFormat="false" ht="15" hidden="false" customHeight="false" outlineLevel="0" collapsed="false">
      <c r="A179" s="4" t="s">
        <v>2953</v>
      </c>
      <c r="B179" s="4" t="s">
        <v>2698</v>
      </c>
      <c r="C179" s="4" t="s">
        <v>2801</v>
      </c>
      <c r="D179" s="4" t="n">
        <v>15</v>
      </c>
      <c r="E179" s="4" t="n">
        <v>0</v>
      </c>
      <c r="F179" s="4" t="s">
        <v>55</v>
      </c>
      <c r="G179" s="4" t="n">
        <v>3</v>
      </c>
      <c r="H179" s="4"/>
      <c r="I179" s="4" t="n">
        <v>0</v>
      </c>
      <c r="J179" s="4"/>
      <c r="K179" s="4" t="n">
        <v>0</v>
      </c>
      <c r="L179" s="24" t="n">
        <f aca="false">D179*(1+0.75*(IFERROR(G179*INDEX(Calculator!$E$6:$E$23,MATCH(F179,Calculator!$A$6:$A$23,0)),0)+IFERROR(I179*INDEX(Calculator!$E$6:$E$23,MATCH(H179,Calculator!$A$6:$A$23,0)),0)+IFERROR(K179*INDEX(Calculator!$E$6:$E$23,MATCH(J179,Calculator!$A$6:$A$23,0)),0))*(1+Constants!$B$23*Calculator!$C$27)/1000)*(1+Calculator!$C$45+Calculator!$C$37)*Calculator!$C$39*(1-(1-MIN(Calculator!$C$44,MIN(1,E179+Calculator!$E$6/10*Constants!$B$16+Calculator!$C$36+Calculator!$C$40+Constants!$B$24*Calculator!$C$27)))*Constants!$B$6)</f>
        <v>17.7617702295</v>
      </c>
    </row>
    <row r="180" customFormat="false" ht="15" hidden="false" customHeight="false" outlineLevel="0" collapsed="false">
      <c r="A180" s="4" t="s">
        <v>2954</v>
      </c>
      <c r="B180" s="4" t="s">
        <v>2698</v>
      </c>
      <c r="C180" s="4" t="s">
        <v>2955</v>
      </c>
      <c r="D180" s="4" t="n">
        <v>22</v>
      </c>
      <c r="E180" s="4" t="n">
        <v>0</v>
      </c>
      <c r="F180" s="4" t="s">
        <v>55</v>
      </c>
      <c r="G180" s="4" t="n">
        <v>4.8</v>
      </c>
      <c r="H180" s="4"/>
      <c r="I180" s="4" t="n">
        <v>0</v>
      </c>
      <c r="J180" s="4"/>
      <c r="K180" s="4" t="n">
        <v>0</v>
      </c>
      <c r="L180" s="24" t="n">
        <f aca="false">D180*(1+0.75*(IFERROR(G180*INDEX(Calculator!$E$6:$E$23,MATCH(F180,Calculator!$A$6:$A$23,0)),0)+IFERROR(I180*INDEX(Calculator!$E$6:$E$23,MATCH(H180,Calculator!$A$6:$A$23,0)),0)+IFERROR(K180*INDEX(Calculator!$E$6:$E$23,MATCH(J180,Calculator!$A$6:$A$23,0)),0))*(1+Constants!$B$23*Calculator!$C$27)/1000)*(1+Calculator!$C$45+Calculator!$C$37)*Calculator!$C$39*(1-(1-MIN(Calculator!$C$44,MIN(1,E180+Calculator!$E$6/10*Constants!$B$16+Calculator!$C$36+Calculator!$C$40+Constants!$B$24*Calculator!$C$27)))*Constants!$B$6)</f>
        <v>29.28397613856</v>
      </c>
    </row>
    <row r="181" customFormat="false" ht="15" hidden="false" customHeight="false" outlineLevel="0" collapsed="false">
      <c r="A181" s="4" t="s">
        <v>2956</v>
      </c>
      <c r="B181" s="4" t="s">
        <v>2698</v>
      </c>
      <c r="C181" s="4" t="s">
        <v>1712</v>
      </c>
      <c r="D181" s="4" t="n">
        <v>22</v>
      </c>
      <c r="E181" s="4" t="n">
        <v>0.15</v>
      </c>
      <c r="F181" s="4" t="s">
        <v>55</v>
      </c>
      <c r="G181" s="4" t="n">
        <v>6</v>
      </c>
      <c r="H181" s="4"/>
      <c r="I181" s="4" t="n">
        <v>0</v>
      </c>
      <c r="J181" s="4"/>
      <c r="K181" s="4" t="n">
        <v>0</v>
      </c>
      <c r="L181" s="24" t="n">
        <f aca="false">D181*(1+0.75*(IFERROR(G181*INDEX(Calculator!$E$6:$E$23,MATCH(F181,Calculator!$A$6:$A$23,0)),0)+IFERROR(I181*INDEX(Calculator!$E$6:$E$23,MATCH(H181,Calculator!$A$6:$A$23,0)),0)+IFERROR(K181*INDEX(Calculator!$E$6:$E$23,MATCH(J181,Calculator!$A$6:$A$23,0)),0))*(1+Constants!$B$23*Calculator!$C$27)/1000)*(1+Calculator!$C$45+Calculator!$C$37)*Calculator!$C$39*(1-(1-MIN(Calculator!$C$44,MIN(1,E181+Calculator!$E$6/10*Constants!$B$16+Calculator!$C$36+Calculator!$C$40+Constants!$B$24*Calculator!$C$27)))*Constants!$B$6)</f>
        <v>33.3602527632</v>
      </c>
    </row>
    <row r="182" customFormat="false" ht="15" hidden="false" customHeight="false" outlineLevel="0" collapsed="false">
      <c r="A182" s="4" t="s">
        <v>2957</v>
      </c>
      <c r="B182" s="4" t="s">
        <v>2690</v>
      </c>
      <c r="C182" s="4" t="s">
        <v>2714</v>
      </c>
      <c r="D182" s="4" t="n">
        <v>18</v>
      </c>
      <c r="E182" s="4" t="n">
        <v>0.2</v>
      </c>
      <c r="F182" s="4" t="s">
        <v>55</v>
      </c>
      <c r="G182" s="4" t="n">
        <v>6.5</v>
      </c>
      <c r="H182" s="4"/>
      <c r="I182" s="4" t="n">
        <v>0</v>
      </c>
      <c r="J182" s="4"/>
      <c r="K182" s="4" t="n">
        <v>0</v>
      </c>
      <c r="L182" s="24" t="n">
        <f aca="false">D182*(1+0.75*(IFERROR(G182*INDEX(Calculator!$E$6:$E$23,MATCH(F182,Calculator!$A$6:$A$23,0)),0)+IFERROR(I182*INDEX(Calculator!$E$6:$E$23,MATCH(H182,Calculator!$A$6:$A$23,0)),0)+IFERROR(K182*INDEX(Calculator!$E$6:$E$23,MATCH(J182,Calculator!$A$6:$A$23,0)),0))*(1+Constants!$B$23*Calculator!$C$27)/1000)*(1+Calculator!$C$45+Calculator!$C$37)*Calculator!$C$39*(1-(1-MIN(Calculator!$C$44,MIN(1,E182+Calculator!$E$6/10*Constants!$B$16+Calculator!$C$36+Calculator!$C$40+Constants!$B$24*Calculator!$C$27)))*Constants!$B$6)</f>
        <v>28.6132940667</v>
      </c>
    </row>
    <row r="183" customFormat="false" ht="15" hidden="false" customHeight="false" outlineLevel="0" collapsed="false">
      <c r="A183" s="4" t="s">
        <v>2958</v>
      </c>
      <c r="B183" s="4" t="s">
        <v>2829</v>
      </c>
      <c r="C183" s="4" t="s">
        <v>2959</v>
      </c>
      <c r="D183" s="4" t="n">
        <v>16</v>
      </c>
      <c r="E183" s="4" t="n">
        <v>0.1</v>
      </c>
      <c r="F183" s="4" t="s">
        <v>55</v>
      </c>
      <c r="G183" s="4" t="n">
        <v>8</v>
      </c>
      <c r="H183" s="4" t="s">
        <v>67</v>
      </c>
      <c r="I183" s="4" t="n">
        <v>2</v>
      </c>
      <c r="J183" s="4"/>
      <c r="K183" s="4" t="n">
        <v>0</v>
      </c>
      <c r="L183" s="24" t="n">
        <f aca="false">D183*(1+0.75*(IFERROR(G183*INDEX(Calculator!$E$6:$E$23,MATCH(F183,Calculator!$A$6:$A$23,0)),0)+IFERROR(I183*INDEX(Calculator!$E$6:$E$23,MATCH(H183,Calculator!$A$6:$A$23,0)),0)+IFERROR(K183*INDEX(Calculator!$E$6:$E$23,MATCH(J183,Calculator!$A$6:$A$23,0)),0))*(1+Constants!$B$23*Calculator!$C$27)/1000)*(1+Calculator!$C$45+Calculator!$C$37)*Calculator!$C$39*(1-(1-MIN(Calculator!$C$44,MIN(1,E183+Calculator!$E$6/10*Constants!$B$16+Calculator!$C$36+Calculator!$C$40+Constants!$B$24*Calculator!$C$27)))*Constants!$B$6)</f>
        <v>26.5156268928</v>
      </c>
    </row>
    <row r="184" customFormat="false" ht="15" hidden="false" customHeight="false" outlineLevel="0" collapsed="false">
      <c r="A184" s="4" t="s">
        <v>91</v>
      </c>
      <c r="B184" s="4" t="s">
        <v>2698</v>
      </c>
      <c r="C184" s="4" t="s">
        <v>2906</v>
      </c>
      <c r="D184" s="4" t="n">
        <v>20</v>
      </c>
      <c r="E184" s="4" t="n">
        <v>0.3</v>
      </c>
      <c r="F184" s="4" t="s">
        <v>55</v>
      </c>
      <c r="G184" s="4" t="n">
        <v>7</v>
      </c>
      <c r="H184" s="4"/>
      <c r="I184" s="4" t="n">
        <v>0</v>
      </c>
      <c r="J184" s="4"/>
      <c r="K184" s="4" t="n">
        <v>0</v>
      </c>
      <c r="L184" s="24" t="n">
        <f aca="false">D184*(1+0.75*(IFERROR(G184*INDEX(Calculator!$E$6:$E$23,MATCH(F184,Calculator!$A$6:$A$23,0)),0)+IFERROR(I184*INDEX(Calculator!$E$6:$E$23,MATCH(H184,Calculator!$A$6:$A$23,0)),0)+IFERROR(K184*INDEX(Calculator!$E$6:$E$23,MATCH(J184,Calculator!$A$6:$A$23,0)),0))*(1+Constants!$B$23*Calculator!$C$27)/1000)*(1+Calculator!$C$45+Calculator!$C$37)*Calculator!$C$39*(1-(1-MIN(Calculator!$C$44,MIN(1,E184+Calculator!$E$6/10*Constants!$B$16+Calculator!$C$36+Calculator!$C$40+Constants!$B$24*Calculator!$C$27)))*Constants!$B$6)</f>
        <v>33.906131814</v>
      </c>
    </row>
    <row r="185" customFormat="false" ht="15" hidden="false" customHeight="false" outlineLevel="0" collapsed="false">
      <c r="A185" s="4" t="s">
        <v>2960</v>
      </c>
      <c r="B185" s="4" t="s">
        <v>2698</v>
      </c>
      <c r="C185" s="4" t="s">
        <v>2691</v>
      </c>
      <c r="D185" s="4" t="n">
        <v>22</v>
      </c>
      <c r="E185" s="4" t="n">
        <v>0</v>
      </c>
      <c r="F185" s="4" t="s">
        <v>55</v>
      </c>
      <c r="G185" s="4" t="n">
        <v>5</v>
      </c>
      <c r="H185" s="4"/>
      <c r="I185" s="4" t="n">
        <v>0</v>
      </c>
      <c r="J185" s="4"/>
      <c r="K185" s="4" t="n">
        <v>0</v>
      </c>
      <c r="L185" s="24" t="n">
        <f aca="false">D185*(1+0.75*(IFERROR(G185*INDEX(Calculator!$E$6:$E$23,MATCH(F185,Calculator!$A$6:$A$23,0)),0)+IFERROR(I185*INDEX(Calculator!$E$6:$E$23,MATCH(H185,Calculator!$A$6:$A$23,0)),0)+IFERROR(K185*INDEX(Calculator!$E$6:$E$23,MATCH(J185,Calculator!$A$6:$A$23,0)),0))*(1+Constants!$B$23*Calculator!$C$27)/1000)*(1+Calculator!$C$45+Calculator!$C$37)*Calculator!$C$39*(1-(1-MIN(Calculator!$C$44,MIN(1,E185+Calculator!$E$6/10*Constants!$B$16+Calculator!$C$36+Calculator!$C$40+Constants!$B$24*Calculator!$C$27)))*Constants!$B$6)</f>
        <v>29.643240561</v>
      </c>
    </row>
    <row r="186" customFormat="false" ht="15" hidden="false" customHeight="false" outlineLevel="0" collapsed="false">
      <c r="A186" s="4" t="s">
        <v>2961</v>
      </c>
      <c r="B186" s="4" t="s">
        <v>2718</v>
      </c>
      <c r="C186" s="4" t="s">
        <v>2217</v>
      </c>
      <c r="D186" s="4" t="n">
        <v>13.5</v>
      </c>
      <c r="E186" s="4" t="n">
        <v>0</v>
      </c>
      <c r="F186" s="4" t="s">
        <v>57</v>
      </c>
      <c r="G186" s="4" t="n">
        <v>6</v>
      </c>
      <c r="H186" s="4"/>
      <c r="I186" s="4" t="n">
        <v>0</v>
      </c>
      <c r="J186" s="4"/>
      <c r="K186" s="4" t="n">
        <v>0</v>
      </c>
      <c r="L186" s="24" t="n">
        <f aca="false">D186*(1+0.75*(IFERROR(G186*INDEX(Calculator!$E$6:$E$23,MATCH(F186,Calculator!$A$6:$A$23,0)),0)+IFERROR(I186*INDEX(Calculator!$E$6:$E$23,MATCH(H186,Calculator!$A$6:$A$23,0)),0)+IFERROR(K186*INDEX(Calculator!$E$6:$E$23,MATCH(J186,Calculator!$A$6:$A$23,0)),0))*(1+Constants!$B$23*Calculator!$C$27)/1000)*(1+Calculator!$C$45+Calculator!$C$37)*Calculator!$C$39*(1-(1-MIN(Calculator!$C$44,MIN(1,E186+Calculator!$E$6/10*Constants!$B$16+Calculator!$C$36+Calculator!$C$40+Constants!$B$24*Calculator!$C$27)))*Constants!$B$6)</f>
        <v>12.6787275</v>
      </c>
    </row>
    <row r="187" customFormat="false" ht="15" hidden="false" customHeight="false" outlineLevel="0" collapsed="false">
      <c r="A187" s="4" t="s">
        <v>2962</v>
      </c>
      <c r="B187" s="4" t="s">
        <v>2703</v>
      </c>
      <c r="C187" s="4" t="s">
        <v>585</v>
      </c>
      <c r="D187" s="4" t="n">
        <v>10</v>
      </c>
      <c r="E187" s="4" t="n">
        <v>0</v>
      </c>
      <c r="F187" s="4" t="s">
        <v>57</v>
      </c>
      <c r="G187" s="4" t="n">
        <v>13</v>
      </c>
      <c r="H187" s="4"/>
      <c r="I187" s="4" t="n">
        <v>0</v>
      </c>
      <c r="J187" s="4"/>
      <c r="K187" s="4" t="n">
        <v>0</v>
      </c>
      <c r="L187" s="24" t="n">
        <f aca="false">D187*(1+0.75*(IFERROR(G187*INDEX(Calculator!$E$6:$E$23,MATCH(F187,Calculator!$A$6:$A$23,0)),0)+IFERROR(I187*INDEX(Calculator!$E$6:$E$23,MATCH(H187,Calculator!$A$6:$A$23,0)),0)+IFERROR(K187*INDEX(Calculator!$E$6:$E$23,MATCH(J187,Calculator!$A$6:$A$23,0)),0))*(1+Constants!$B$23*Calculator!$C$27)/1000)*(1+Calculator!$C$45+Calculator!$C$37)*Calculator!$C$39*(1-(1-MIN(Calculator!$C$44,MIN(1,E187+Calculator!$E$6/10*Constants!$B$16+Calculator!$C$36+Calculator!$C$40+Constants!$B$24*Calculator!$C$27)))*Constants!$B$6)</f>
        <v>9.39165</v>
      </c>
    </row>
    <row r="188" customFormat="false" ht="15" hidden="false" customHeight="false" outlineLevel="0" collapsed="false">
      <c r="A188" s="4" t="s">
        <v>2963</v>
      </c>
      <c r="B188" s="4" t="s">
        <v>2729</v>
      </c>
      <c r="C188" s="4" t="s">
        <v>1618</v>
      </c>
      <c r="D188" s="4" t="n">
        <v>14</v>
      </c>
      <c r="E188" s="4" t="n">
        <v>0.1</v>
      </c>
      <c r="F188" s="4" t="s">
        <v>57</v>
      </c>
      <c r="G188" s="4" t="n">
        <v>8</v>
      </c>
      <c r="H188" s="4"/>
      <c r="I188" s="4" t="n">
        <v>0</v>
      </c>
      <c r="J188" s="4"/>
      <c r="K188" s="4" t="n">
        <v>0</v>
      </c>
      <c r="L188" s="24" t="n">
        <f aca="false">D188*(1+0.75*(IFERROR(G188*INDEX(Calculator!$E$6:$E$23,MATCH(F188,Calculator!$A$6:$A$23,0)),0)+IFERROR(I188*INDEX(Calculator!$E$6:$E$23,MATCH(H188,Calculator!$A$6:$A$23,0)),0)+IFERROR(K188*INDEX(Calculator!$E$6:$E$23,MATCH(J188,Calculator!$A$6:$A$23,0)),0))*(1+Constants!$B$23*Calculator!$C$27)/1000)*(1+Calculator!$C$45+Calculator!$C$37)*Calculator!$C$39*(1-(1-MIN(Calculator!$C$44,MIN(1,E188+Calculator!$E$6/10*Constants!$B$16+Calculator!$C$36+Calculator!$C$40+Constants!$B$24*Calculator!$C$27)))*Constants!$B$6)</f>
        <v>13.68381</v>
      </c>
    </row>
    <row r="189" customFormat="false" ht="15" hidden="false" customHeight="false" outlineLevel="0" collapsed="false">
      <c r="A189" s="4" t="s">
        <v>2964</v>
      </c>
      <c r="B189" s="4" t="s">
        <v>2693</v>
      </c>
      <c r="C189" s="4" t="s">
        <v>1464</v>
      </c>
      <c r="D189" s="4" t="n">
        <v>23</v>
      </c>
      <c r="E189" s="4" t="n">
        <v>0.25</v>
      </c>
      <c r="F189" s="4" t="s">
        <v>53</v>
      </c>
      <c r="G189" s="4" t="n">
        <v>7</v>
      </c>
      <c r="H189" s="4"/>
      <c r="I189" s="4" t="n">
        <v>0</v>
      </c>
      <c r="J189" s="4"/>
      <c r="K189" s="4" t="n">
        <v>0</v>
      </c>
      <c r="L189" s="24" t="n">
        <f aca="false">D189*(1+0.75*(IFERROR(G189*INDEX(Calculator!$E$6:$E$23,MATCH(F189,Calculator!$A$6:$A$23,0)),0)+IFERROR(I189*INDEX(Calculator!$E$6:$E$23,MATCH(H189,Calculator!$A$6:$A$23,0)),0)+IFERROR(K189*INDEX(Calculator!$E$6:$E$23,MATCH(J189,Calculator!$A$6:$A$23,0)),0))*(1+Constants!$B$23*Calculator!$C$27)/1000)*(1+Calculator!$C$45+Calculator!$C$37)*Calculator!$C$39*(1-(1-MIN(Calculator!$C$44,MIN(1,E189+Calculator!$E$6/10*Constants!$B$16+Calculator!$C$36+Calculator!$C$40+Constants!$B$24*Calculator!$C$27)))*Constants!$B$6)</f>
        <v>23.80017</v>
      </c>
    </row>
    <row r="190" customFormat="false" ht="15" hidden="false" customHeight="false" outlineLevel="0" collapsed="false">
      <c r="A190" s="4" t="s">
        <v>2965</v>
      </c>
      <c r="B190" s="4" t="s">
        <v>2789</v>
      </c>
      <c r="C190" s="4" t="s">
        <v>2790</v>
      </c>
      <c r="D190" s="4" t="n">
        <v>25.5</v>
      </c>
      <c r="E190" s="4" t="n">
        <v>0.1</v>
      </c>
      <c r="F190" s="4" t="s">
        <v>53</v>
      </c>
      <c r="G190" s="4" t="n">
        <v>8.6</v>
      </c>
      <c r="H190" s="4"/>
      <c r="I190" s="4" t="n">
        <v>0</v>
      </c>
      <c r="J190" s="4"/>
      <c r="K190" s="4" t="n">
        <v>0</v>
      </c>
      <c r="L190" s="24" t="n">
        <f aca="false">D190*(1+0.75*(IFERROR(G190*INDEX(Calculator!$E$6:$E$23,MATCH(F190,Calculator!$A$6:$A$23,0)),0)+IFERROR(I190*INDEX(Calculator!$E$6:$E$23,MATCH(H190,Calculator!$A$6:$A$23,0)),0)+IFERROR(K190*INDEX(Calculator!$E$6:$E$23,MATCH(J190,Calculator!$A$6:$A$23,0)),0))*(1+Constants!$B$23*Calculator!$C$27)/1000)*(1+Calculator!$C$45+Calculator!$C$37)*Calculator!$C$39*(1-(1-MIN(Calculator!$C$44,MIN(1,E190+Calculator!$E$6/10*Constants!$B$16+Calculator!$C$36+Calculator!$C$40+Constants!$B$24*Calculator!$C$27)))*Constants!$B$6)</f>
        <v>24.9240825</v>
      </c>
    </row>
    <row r="191" customFormat="false" ht="15" hidden="false" customHeight="false" outlineLevel="0" collapsed="false">
      <c r="A191" s="4" t="s">
        <v>2966</v>
      </c>
      <c r="B191" s="4" t="s">
        <v>2698</v>
      </c>
      <c r="C191" s="4" t="s">
        <v>2967</v>
      </c>
      <c r="D191" s="4" t="n">
        <v>17</v>
      </c>
      <c r="E191" s="4" t="n">
        <v>0.1</v>
      </c>
      <c r="F191" s="4" t="s">
        <v>55</v>
      </c>
      <c r="G191" s="4" t="n">
        <v>7</v>
      </c>
      <c r="H191" s="4" t="s">
        <v>47</v>
      </c>
      <c r="I191" s="4" t="n">
        <v>3.5</v>
      </c>
      <c r="J191" s="4"/>
      <c r="K191" s="4" t="n">
        <v>0</v>
      </c>
      <c r="L191" s="24" t="n">
        <f aca="false">D191*(1+0.75*(IFERROR(G191*INDEX(Calculator!$E$6:$E$23,MATCH(F191,Calculator!$A$6:$A$23,0)),0)+IFERROR(I191*INDEX(Calculator!$E$6:$E$23,MATCH(H191,Calculator!$A$6:$A$23,0)),0)+IFERROR(K191*INDEX(Calculator!$E$6:$E$23,MATCH(J191,Calculator!$A$6:$A$23,0)),0))*(1+Constants!$B$23*Calculator!$C$27)/1000)*(1+Calculator!$C$45+Calculator!$C$37)*Calculator!$C$39*(1-(1-MIN(Calculator!$C$44,MIN(1,E191+Calculator!$E$6/10*Constants!$B$16+Calculator!$C$36+Calculator!$C$40+Constants!$B$24*Calculator!$C$27)))*Constants!$B$6)</f>
        <v>26.7282537519</v>
      </c>
    </row>
    <row r="192" customFormat="false" ht="15" hidden="false" customHeight="false" outlineLevel="0" collapsed="false">
      <c r="A192" s="4" t="s">
        <v>2968</v>
      </c>
      <c r="B192" s="4" t="s">
        <v>2706</v>
      </c>
      <c r="C192" s="4" t="s">
        <v>2969</v>
      </c>
      <c r="D192" s="4" t="n">
        <v>26</v>
      </c>
      <c r="E192" s="4" t="n">
        <v>0.2</v>
      </c>
      <c r="F192" s="4" t="s">
        <v>53</v>
      </c>
      <c r="G192" s="4" t="n">
        <v>9</v>
      </c>
      <c r="H192" s="4"/>
      <c r="I192" s="4" t="n">
        <v>0</v>
      </c>
      <c r="J192" s="4"/>
      <c r="K192" s="4" t="n">
        <v>0</v>
      </c>
      <c r="L192" s="24" t="n">
        <f aca="false">D192*(1+0.75*(IFERROR(G192*INDEX(Calculator!$E$6:$E$23,MATCH(F192,Calculator!$A$6:$A$23,0)),0)+IFERROR(I192*INDEX(Calculator!$E$6:$E$23,MATCH(H192,Calculator!$A$6:$A$23,0)),0)+IFERROR(K192*INDEX(Calculator!$E$6:$E$23,MATCH(J192,Calculator!$A$6:$A$23,0)),0))*(1+Constants!$B$23*Calculator!$C$27)/1000)*(1+Calculator!$C$45+Calculator!$C$37)*Calculator!$C$39*(1-(1-MIN(Calculator!$C$44,MIN(1,E192+Calculator!$E$6/10*Constants!$B$16+Calculator!$C$36+Calculator!$C$40+Constants!$B$24*Calculator!$C$27)))*Constants!$B$6)</f>
        <v>26.40729</v>
      </c>
    </row>
    <row r="193" customFormat="false" ht="15" hidden="false" customHeight="false" outlineLevel="0" collapsed="false">
      <c r="A193" s="4" t="s">
        <v>2970</v>
      </c>
      <c r="B193" s="4" t="s">
        <v>2718</v>
      </c>
      <c r="C193" s="4" t="s">
        <v>1618</v>
      </c>
      <c r="D193" s="4" t="n">
        <v>16</v>
      </c>
      <c r="E193" s="4" t="n">
        <v>0.05</v>
      </c>
      <c r="F193" s="4" t="s">
        <v>57</v>
      </c>
      <c r="G193" s="4" t="n">
        <v>7</v>
      </c>
      <c r="H193" s="4"/>
      <c r="I193" s="4" t="n">
        <v>0</v>
      </c>
      <c r="J193" s="4"/>
      <c r="K193" s="4" t="n">
        <v>0</v>
      </c>
      <c r="L193" s="24" t="n">
        <f aca="false">D193*(1+0.75*(IFERROR(G193*INDEX(Calculator!$E$6:$E$23,MATCH(F193,Calculator!$A$6:$A$23,0)),0)+IFERROR(I193*INDEX(Calculator!$E$6:$E$23,MATCH(H193,Calculator!$A$6:$A$23,0)),0)+IFERROR(K193*INDEX(Calculator!$E$6:$E$23,MATCH(J193,Calculator!$A$6:$A$23,0)),0))*(1+Constants!$B$23*Calculator!$C$27)/1000)*(1+Calculator!$C$45+Calculator!$C$37)*Calculator!$C$39*(1-(1-MIN(Calculator!$C$44,MIN(1,E193+Calculator!$E$6/10*Constants!$B$16+Calculator!$C$36+Calculator!$C$40+Constants!$B$24*Calculator!$C$27)))*Constants!$B$6)</f>
        <v>15.33264</v>
      </c>
    </row>
    <row r="194" customFormat="false" ht="15" hidden="false" customHeight="false" outlineLevel="0" collapsed="false">
      <c r="A194" s="4" t="s">
        <v>2971</v>
      </c>
      <c r="B194" s="4" t="s">
        <v>2706</v>
      </c>
      <c r="C194" s="4" t="s">
        <v>2947</v>
      </c>
      <c r="D194" s="4" t="n">
        <v>22</v>
      </c>
      <c r="E194" s="4" t="n">
        <v>0</v>
      </c>
      <c r="F194" s="4" t="s">
        <v>53</v>
      </c>
      <c r="G194" s="4" t="n">
        <v>7</v>
      </c>
      <c r="H194" s="4"/>
      <c r="I194" s="4" t="n">
        <v>0</v>
      </c>
      <c r="J194" s="4"/>
      <c r="K194" s="4" t="n">
        <v>0</v>
      </c>
      <c r="L194" s="24" t="n">
        <f aca="false">D194*(1+0.75*(IFERROR(G194*INDEX(Calculator!$E$6:$E$23,MATCH(F194,Calculator!$A$6:$A$23,0)),0)+IFERROR(I194*INDEX(Calculator!$E$6:$E$23,MATCH(H194,Calculator!$A$6:$A$23,0)),0)+IFERROR(K194*INDEX(Calculator!$E$6:$E$23,MATCH(J194,Calculator!$A$6:$A$23,0)),0))*(1+Constants!$B$23*Calculator!$C$27)/1000)*(1+Calculator!$C$45+Calculator!$C$37)*Calculator!$C$39*(1-(1-MIN(Calculator!$C$44,MIN(1,E194+Calculator!$E$6/10*Constants!$B$16+Calculator!$C$36+Calculator!$C$40+Constants!$B$24*Calculator!$C$27)))*Constants!$B$6)</f>
        <v>20.66163</v>
      </c>
    </row>
    <row r="195" customFormat="false" ht="15" hidden="false" customHeight="false" outlineLevel="0" collapsed="false">
      <c r="A195" s="4" t="s">
        <v>2972</v>
      </c>
      <c r="B195" s="4" t="s">
        <v>2726</v>
      </c>
      <c r="C195" s="4" t="s">
        <v>1959</v>
      </c>
      <c r="D195" s="4" t="n">
        <v>14</v>
      </c>
      <c r="E195" s="4" t="n">
        <v>0.2</v>
      </c>
      <c r="F195" s="4" t="s">
        <v>57</v>
      </c>
      <c r="G195" s="4" t="n">
        <v>10</v>
      </c>
      <c r="H195" s="4"/>
      <c r="I195" s="4" t="n">
        <v>0</v>
      </c>
      <c r="J195" s="4"/>
      <c r="K195" s="4" t="n">
        <v>0</v>
      </c>
      <c r="L195" s="24" t="n">
        <f aca="false">D195*(1+0.75*(IFERROR(G195*INDEX(Calculator!$E$6:$E$23,MATCH(F195,Calculator!$A$6:$A$23,0)),0)+IFERROR(I195*INDEX(Calculator!$E$6:$E$23,MATCH(H195,Calculator!$A$6:$A$23,0)),0)+IFERROR(K195*INDEX(Calculator!$E$6:$E$23,MATCH(J195,Calculator!$A$6:$A$23,0)),0))*(1+Constants!$B$23*Calculator!$C$27)/1000)*(1+Calculator!$C$45+Calculator!$C$37)*Calculator!$C$39*(1-(1-MIN(Calculator!$C$44,MIN(1,E195+Calculator!$E$6/10*Constants!$B$16+Calculator!$C$36+Calculator!$C$40+Constants!$B$24*Calculator!$C$27)))*Constants!$B$6)</f>
        <v>14.21931</v>
      </c>
    </row>
    <row r="196" customFormat="false" ht="15" hidden="false" customHeight="false" outlineLevel="0" collapsed="false">
      <c r="A196" s="4" t="s">
        <v>2973</v>
      </c>
      <c r="B196" s="4" t="s">
        <v>2718</v>
      </c>
      <c r="C196" s="4" t="s">
        <v>585</v>
      </c>
      <c r="D196" s="4" t="n">
        <v>11.5</v>
      </c>
      <c r="E196" s="4" t="n">
        <v>0</v>
      </c>
      <c r="F196" s="4" t="s">
        <v>57</v>
      </c>
      <c r="G196" s="4" t="n">
        <v>3</v>
      </c>
      <c r="H196" s="4"/>
      <c r="I196" s="4" t="n">
        <v>0</v>
      </c>
      <c r="J196" s="4"/>
      <c r="K196" s="4" t="n">
        <v>0</v>
      </c>
      <c r="L196" s="24" t="n">
        <f aca="false">D196*(1+0.75*(IFERROR(G196*INDEX(Calculator!$E$6:$E$23,MATCH(F196,Calculator!$A$6:$A$23,0)),0)+IFERROR(I196*INDEX(Calculator!$E$6:$E$23,MATCH(H196,Calculator!$A$6:$A$23,0)),0)+IFERROR(K196*INDEX(Calculator!$E$6:$E$23,MATCH(J196,Calculator!$A$6:$A$23,0)),0))*(1+Constants!$B$23*Calculator!$C$27)/1000)*(1+Calculator!$C$45+Calculator!$C$37)*Calculator!$C$39*(1-(1-MIN(Calculator!$C$44,MIN(1,E196+Calculator!$E$6/10*Constants!$B$16+Calculator!$C$36+Calculator!$C$40+Constants!$B$24*Calculator!$C$27)))*Constants!$B$6)</f>
        <v>10.8003975</v>
      </c>
    </row>
    <row r="197" customFormat="false" ht="15" hidden="false" customHeight="false" outlineLevel="0" collapsed="false">
      <c r="A197" s="4" t="s">
        <v>2974</v>
      </c>
      <c r="B197" s="4" t="s">
        <v>2706</v>
      </c>
      <c r="C197" s="4" t="s">
        <v>2975</v>
      </c>
      <c r="D197" s="4" t="n">
        <v>24</v>
      </c>
      <c r="E197" s="4" t="n">
        <v>0.1</v>
      </c>
      <c r="F197" s="4" t="s">
        <v>53</v>
      </c>
      <c r="G197" s="4" t="n">
        <v>10</v>
      </c>
      <c r="H197" s="4"/>
      <c r="I197" s="4" t="n">
        <v>0</v>
      </c>
      <c r="J197" s="4"/>
      <c r="K197" s="4" t="n">
        <v>0</v>
      </c>
      <c r="L197" s="24" t="n">
        <f aca="false">D197*(1+0.75*(IFERROR(G197*INDEX(Calculator!$E$6:$E$23,MATCH(F197,Calculator!$A$6:$A$23,0)),0)+IFERROR(I197*INDEX(Calculator!$E$6:$E$23,MATCH(H197,Calculator!$A$6:$A$23,0)),0)+IFERROR(K197*INDEX(Calculator!$E$6:$E$23,MATCH(J197,Calculator!$A$6:$A$23,0)),0))*(1+Constants!$B$23*Calculator!$C$27)/1000)*(1+Calculator!$C$45+Calculator!$C$37)*Calculator!$C$39*(1-(1-MIN(Calculator!$C$44,MIN(1,E197+Calculator!$E$6/10*Constants!$B$16+Calculator!$C$36+Calculator!$C$40+Constants!$B$24*Calculator!$C$27)))*Constants!$B$6)</f>
        <v>23.45796</v>
      </c>
    </row>
    <row r="198" customFormat="false" ht="15" hidden="false" customHeight="false" outlineLevel="0" collapsed="false">
      <c r="A198" s="4" t="s">
        <v>2976</v>
      </c>
      <c r="B198" s="4" t="s">
        <v>2860</v>
      </c>
      <c r="C198" s="4" t="s">
        <v>2977</v>
      </c>
      <c r="D198" s="4" t="n">
        <v>19.5</v>
      </c>
      <c r="E198" s="4" t="n">
        <v>0</v>
      </c>
      <c r="F198" s="4" t="s">
        <v>55</v>
      </c>
      <c r="G198" s="4" t="n">
        <v>3</v>
      </c>
      <c r="H198" s="4" t="s">
        <v>63</v>
      </c>
      <c r="I198" s="4" t="n">
        <v>6</v>
      </c>
      <c r="J198" s="4"/>
      <c r="K198" s="4" t="n">
        <v>0</v>
      </c>
      <c r="L198" s="24" t="n">
        <f aca="false">D198*(1+0.75*(IFERROR(G198*INDEX(Calculator!$E$6:$E$23,MATCH(F198,Calculator!$A$6:$A$23,0)),0)+IFERROR(I198*INDEX(Calculator!$E$6:$E$23,MATCH(H198,Calculator!$A$6:$A$23,0)),0)+IFERROR(K198*INDEX(Calculator!$E$6:$E$23,MATCH(J198,Calculator!$A$6:$A$23,0)),0))*(1+Constants!$B$23*Calculator!$C$27)/1000)*(1+Calculator!$C$45+Calculator!$C$37)*Calculator!$C$39*(1-(1-MIN(Calculator!$C$44,MIN(1,E198+Calculator!$E$6/10*Constants!$B$16+Calculator!$C$36+Calculator!$C$40+Constants!$B$24*Calculator!$C$27)))*Constants!$B$6)</f>
        <v>25.3747544193</v>
      </c>
    </row>
    <row r="199" customFormat="false" ht="15" hidden="false" customHeight="false" outlineLevel="0" collapsed="false">
      <c r="A199" s="4" t="s">
        <v>2978</v>
      </c>
      <c r="B199" s="4" t="s">
        <v>2789</v>
      </c>
      <c r="C199" s="4" t="s">
        <v>2979</v>
      </c>
      <c r="D199" s="4" t="n">
        <v>24.5</v>
      </c>
      <c r="E199" s="4" t="n">
        <v>0.1</v>
      </c>
      <c r="F199" s="4" t="s">
        <v>53</v>
      </c>
      <c r="G199" s="4" t="n">
        <v>8.2</v>
      </c>
      <c r="H199" s="4"/>
      <c r="I199" s="4" t="n">
        <v>0</v>
      </c>
      <c r="J199" s="4"/>
      <c r="K199" s="4" t="n">
        <v>0</v>
      </c>
      <c r="L199" s="24" t="n">
        <f aca="false">D199*(1+0.75*(IFERROR(G199*INDEX(Calculator!$E$6:$E$23,MATCH(F199,Calculator!$A$6:$A$23,0)),0)+IFERROR(I199*INDEX(Calculator!$E$6:$E$23,MATCH(H199,Calculator!$A$6:$A$23,0)),0)+IFERROR(K199*INDEX(Calculator!$E$6:$E$23,MATCH(J199,Calculator!$A$6:$A$23,0)),0))*(1+Constants!$B$23*Calculator!$C$27)/1000)*(1+Calculator!$C$45+Calculator!$C$37)*Calculator!$C$39*(1-(1-MIN(Calculator!$C$44,MIN(1,E199+Calculator!$E$6/10*Constants!$B$16+Calculator!$C$36+Calculator!$C$40+Constants!$B$24*Calculator!$C$27)))*Constants!$B$6)</f>
        <v>23.9466675</v>
      </c>
    </row>
    <row r="200" customFormat="false" ht="15" hidden="false" customHeight="false" outlineLevel="0" collapsed="false">
      <c r="A200" s="4" t="s">
        <v>2980</v>
      </c>
      <c r="B200" s="4" t="s">
        <v>2860</v>
      </c>
      <c r="C200" s="4" t="s">
        <v>2691</v>
      </c>
      <c r="D200" s="4" t="n">
        <v>17</v>
      </c>
      <c r="E200" s="4" t="n">
        <v>0</v>
      </c>
      <c r="F200" s="4" t="s">
        <v>55</v>
      </c>
      <c r="G200" s="4" t="n">
        <v>6</v>
      </c>
      <c r="H200" s="4"/>
      <c r="I200" s="4" t="n">
        <v>0</v>
      </c>
      <c r="J200" s="4"/>
      <c r="K200" s="4" t="n">
        <v>0</v>
      </c>
      <c r="L200" s="24" t="n">
        <f aca="false">D200*(1+0.75*(IFERROR(G200*INDEX(Calculator!$E$6:$E$23,MATCH(F200,Calculator!$A$6:$A$23,0)),0)+IFERROR(I200*INDEX(Calculator!$E$6:$E$23,MATCH(H200,Calculator!$A$6:$A$23,0)),0)+IFERROR(K200*INDEX(Calculator!$E$6:$E$23,MATCH(J200,Calculator!$A$6:$A$23,0)),0))*(1+Constants!$B$23*Calculator!$C$27)/1000)*(1+Calculator!$C$45+Calculator!$C$37)*Calculator!$C$39*(1-(1-MIN(Calculator!$C$44,MIN(1,E200+Calculator!$E$6/10*Constants!$B$16+Calculator!$C$36+Calculator!$C$40+Constants!$B$24*Calculator!$C$27)))*Constants!$B$6)</f>
        <v>24.2942075202</v>
      </c>
    </row>
    <row r="201" customFormat="false" ht="15" hidden="false" customHeight="false" outlineLevel="0" collapsed="false">
      <c r="A201" s="4" t="s">
        <v>2698</v>
      </c>
      <c r="B201" s="4" t="s">
        <v>2698</v>
      </c>
      <c r="C201" s="4" t="s">
        <v>585</v>
      </c>
      <c r="D201" s="4" t="n">
        <v>18</v>
      </c>
      <c r="E201" s="4" t="n">
        <v>0</v>
      </c>
      <c r="F201" s="4" t="s">
        <v>55</v>
      </c>
      <c r="G201" s="4" t="n">
        <v>2.5</v>
      </c>
      <c r="H201" s="4"/>
      <c r="I201" s="4" t="n">
        <v>0</v>
      </c>
      <c r="J201" s="4"/>
      <c r="K201" s="4" t="n">
        <v>0</v>
      </c>
      <c r="L201" s="24" t="n">
        <f aca="false">D201*(1+0.75*(IFERROR(G201*INDEX(Calculator!$E$6:$E$23,MATCH(F201,Calculator!$A$6:$A$23,0)),0)+IFERROR(I201*INDEX(Calculator!$E$6:$E$23,MATCH(H201,Calculator!$A$6:$A$23,0)),0)+IFERROR(K201*INDEX(Calculator!$E$6:$E$23,MATCH(J201,Calculator!$A$6:$A$23,0)),0))*(1+Constants!$B$23*Calculator!$C$27)/1000)*(1+Calculator!$C$45+Calculator!$C$37)*Calculator!$C$39*(1-(1-MIN(Calculator!$C$44,MIN(1,E201+Calculator!$E$6/10*Constants!$B$16+Calculator!$C$36+Calculator!$C$40+Constants!$B$24*Calculator!$C$27)))*Constants!$B$6)</f>
        <v>20.5792652295</v>
      </c>
    </row>
    <row r="202" customFormat="false" ht="15" hidden="false" customHeight="false" outlineLevel="0" collapsed="false">
      <c r="A202" s="4" t="s">
        <v>2981</v>
      </c>
      <c r="B202" s="4" t="s">
        <v>2718</v>
      </c>
      <c r="C202" s="4" t="s">
        <v>989</v>
      </c>
      <c r="D202" s="4" t="n">
        <v>17</v>
      </c>
      <c r="E202" s="4" t="n">
        <v>0</v>
      </c>
      <c r="F202" s="4" t="s">
        <v>57</v>
      </c>
      <c r="G202" s="4" t="n">
        <v>5</v>
      </c>
      <c r="H202" s="4"/>
      <c r="I202" s="4" t="n">
        <v>0</v>
      </c>
      <c r="J202" s="4"/>
      <c r="K202" s="4" t="n">
        <v>0</v>
      </c>
      <c r="L202" s="24" t="n">
        <f aca="false">D202*(1+0.75*(IFERROR(G202*INDEX(Calculator!$E$6:$E$23,MATCH(F202,Calculator!$A$6:$A$23,0)),0)+IFERROR(I202*INDEX(Calculator!$E$6:$E$23,MATCH(H202,Calculator!$A$6:$A$23,0)),0)+IFERROR(K202*INDEX(Calculator!$E$6:$E$23,MATCH(J202,Calculator!$A$6:$A$23,0)),0))*(1+Constants!$B$23*Calculator!$C$27)/1000)*(1+Calculator!$C$45+Calculator!$C$37)*Calculator!$C$39*(1-(1-MIN(Calculator!$C$44,MIN(1,E202+Calculator!$E$6/10*Constants!$B$16+Calculator!$C$36+Calculator!$C$40+Constants!$B$24*Calculator!$C$27)))*Constants!$B$6)</f>
        <v>15.965805</v>
      </c>
    </row>
    <row r="203" customFormat="false" ht="15" hidden="false" customHeight="false" outlineLevel="0" collapsed="false">
      <c r="A203" s="4" t="s">
        <v>2982</v>
      </c>
      <c r="B203" s="4" t="s">
        <v>2789</v>
      </c>
      <c r="C203" s="4" t="s">
        <v>2790</v>
      </c>
      <c r="D203" s="4" t="n">
        <v>25.5</v>
      </c>
      <c r="E203" s="4" t="n">
        <v>0.05</v>
      </c>
      <c r="F203" s="4" t="s">
        <v>53</v>
      </c>
      <c r="G203" s="4" t="n">
        <v>8.5</v>
      </c>
      <c r="H203" s="4"/>
      <c r="I203" s="4" t="n">
        <v>0</v>
      </c>
      <c r="J203" s="4"/>
      <c r="K203" s="4" t="n">
        <v>0</v>
      </c>
      <c r="L203" s="24" t="n">
        <f aca="false">D203*(1+0.75*(IFERROR(G203*INDEX(Calculator!$E$6:$E$23,MATCH(F203,Calculator!$A$6:$A$23,0)),0)+IFERROR(I203*INDEX(Calculator!$E$6:$E$23,MATCH(H203,Calculator!$A$6:$A$23,0)),0)+IFERROR(K203*INDEX(Calculator!$E$6:$E$23,MATCH(J203,Calculator!$A$6:$A$23,0)),0))*(1+Constants!$B$23*Calculator!$C$27)/1000)*(1+Calculator!$C$45+Calculator!$C$37)*Calculator!$C$39*(1-(1-MIN(Calculator!$C$44,MIN(1,E203+Calculator!$E$6/10*Constants!$B$16+Calculator!$C$36+Calculator!$C$40+Constants!$B$24*Calculator!$C$27)))*Constants!$B$6)</f>
        <v>24.436395</v>
      </c>
    </row>
    <row r="204" customFormat="false" ht="15" hidden="false" customHeight="false" outlineLevel="0" collapsed="false">
      <c r="A204" s="4" t="s">
        <v>2983</v>
      </c>
      <c r="B204" s="4" t="s">
        <v>2718</v>
      </c>
      <c r="C204" s="4" t="s">
        <v>2984</v>
      </c>
      <c r="D204" s="4" t="n">
        <v>13</v>
      </c>
      <c r="E204" s="4" t="n">
        <v>0.15</v>
      </c>
      <c r="F204" s="4" t="s">
        <v>57</v>
      </c>
      <c r="G204" s="4" t="n">
        <v>8</v>
      </c>
      <c r="H204" s="4" t="s">
        <v>73</v>
      </c>
      <c r="I204" s="4" t="n">
        <v>5</v>
      </c>
      <c r="J204" s="4"/>
      <c r="K204" s="4" t="n">
        <v>0</v>
      </c>
      <c r="L204" s="24" t="n">
        <f aca="false">D204*(1+0.75*(IFERROR(G204*INDEX(Calculator!$E$6:$E$23,MATCH(F204,Calculator!$A$6:$A$23,0)),0)+IFERROR(I204*INDEX(Calculator!$E$6:$E$23,MATCH(H204,Calculator!$A$6:$A$23,0)),0)+IFERROR(K204*INDEX(Calculator!$E$6:$E$23,MATCH(J204,Calculator!$A$6:$A$23,0)),0))*(1+Constants!$B$23*Calculator!$C$27)/1000)*(1+Calculator!$C$45+Calculator!$C$37)*Calculator!$C$39*(1-(1-MIN(Calculator!$C$44,MIN(1,E204+Calculator!$E$6/10*Constants!$B$16+Calculator!$C$36+Calculator!$C$40+Constants!$B$24*Calculator!$C$27)))*Constants!$B$6)</f>
        <v>14.4853317375</v>
      </c>
    </row>
    <row r="205" customFormat="false" ht="15" hidden="false" customHeight="false" outlineLevel="0" collapsed="false">
      <c r="A205" s="4" t="s">
        <v>2985</v>
      </c>
      <c r="B205" s="4" t="s">
        <v>2718</v>
      </c>
      <c r="C205" s="4" t="s">
        <v>1269</v>
      </c>
      <c r="D205" s="4" t="n">
        <v>12.5</v>
      </c>
      <c r="E205" s="4" t="n">
        <v>0.1</v>
      </c>
      <c r="F205" s="4" t="s">
        <v>57</v>
      </c>
      <c r="G205" s="4" t="n">
        <v>12</v>
      </c>
      <c r="H205" s="4"/>
      <c r="I205" s="4" t="n">
        <v>0</v>
      </c>
      <c r="J205" s="4"/>
      <c r="K205" s="4" t="n">
        <v>0</v>
      </c>
      <c r="L205" s="24" t="n">
        <f aca="false">D205*(1+0.75*(IFERROR(G205*INDEX(Calculator!$E$6:$E$23,MATCH(F205,Calculator!$A$6:$A$23,0)),0)+IFERROR(I205*INDEX(Calculator!$E$6:$E$23,MATCH(H205,Calculator!$A$6:$A$23,0)),0)+IFERROR(K205*INDEX(Calculator!$E$6:$E$23,MATCH(J205,Calculator!$A$6:$A$23,0)),0))*(1+Constants!$B$23*Calculator!$C$27)/1000)*(1+Calculator!$C$45+Calculator!$C$37)*Calculator!$C$39*(1-(1-MIN(Calculator!$C$44,MIN(1,E205+Calculator!$E$6/10*Constants!$B$16+Calculator!$C$36+Calculator!$C$40+Constants!$B$24*Calculator!$C$27)))*Constants!$B$6)</f>
        <v>12.2176875</v>
      </c>
    </row>
    <row r="206" customFormat="false" ht="15" hidden="false" customHeight="false" outlineLevel="0" collapsed="false">
      <c r="A206" s="4" t="s">
        <v>2986</v>
      </c>
      <c r="B206" s="4" t="s">
        <v>2700</v>
      </c>
      <c r="C206" s="4" t="s">
        <v>2987</v>
      </c>
      <c r="D206" s="4" t="n">
        <v>20</v>
      </c>
      <c r="E206" s="4" t="n">
        <v>0</v>
      </c>
      <c r="F206" s="4" t="s">
        <v>53</v>
      </c>
      <c r="G206" s="4" t="n">
        <v>7</v>
      </c>
      <c r="H206" s="4" t="s">
        <v>73</v>
      </c>
      <c r="I206" s="4" t="n">
        <v>3</v>
      </c>
      <c r="J206" s="4"/>
      <c r="K206" s="4" t="n">
        <v>0</v>
      </c>
      <c r="L206" s="24" t="n">
        <f aca="false">D206*(1+0.75*(IFERROR(G206*INDEX(Calculator!$E$6:$E$23,MATCH(F206,Calculator!$A$6:$A$23,0)),0)+IFERROR(I206*INDEX(Calculator!$E$6:$E$23,MATCH(H206,Calculator!$A$6:$A$23,0)),0)+IFERROR(K206*INDEX(Calculator!$E$6:$E$23,MATCH(J206,Calculator!$A$6:$A$23,0)),0))*(1+Constants!$B$23*Calculator!$C$27)/1000)*(1+Calculator!$C$45+Calculator!$C$37)*Calculator!$C$39*(1-(1-MIN(Calculator!$C$44,MIN(1,E206+Calculator!$E$6/10*Constants!$B$16+Calculator!$C$36+Calculator!$C$40+Constants!$B$24*Calculator!$C$27)))*Constants!$B$6)</f>
        <v>20.1145663875</v>
      </c>
    </row>
    <row r="207" customFormat="false" ht="15" hidden="false" customHeight="false" outlineLevel="0" collapsed="false">
      <c r="A207" s="4" t="s">
        <v>2988</v>
      </c>
      <c r="B207" s="4" t="s">
        <v>2891</v>
      </c>
      <c r="C207" s="4" t="s">
        <v>2989</v>
      </c>
      <c r="D207" s="4" t="n">
        <v>18</v>
      </c>
      <c r="E207" s="4" t="n">
        <v>0</v>
      </c>
      <c r="F207" s="4" t="s">
        <v>55</v>
      </c>
      <c r="G207" s="4" t="n">
        <v>5</v>
      </c>
      <c r="H207" s="4" t="s">
        <v>73</v>
      </c>
      <c r="I207" s="4" t="n">
        <v>3</v>
      </c>
      <c r="J207" s="4"/>
      <c r="K207" s="4" t="n">
        <v>0</v>
      </c>
      <c r="L207" s="24" t="n">
        <f aca="false">D207*(1+0.75*(IFERROR(G207*INDEX(Calculator!$E$6:$E$23,MATCH(F207,Calculator!$A$6:$A$23,0)),0)+IFERROR(I207*INDEX(Calculator!$E$6:$E$23,MATCH(H207,Calculator!$A$6:$A$23,0)),0)+IFERROR(K207*INDEX(Calculator!$E$6:$E$23,MATCH(J207,Calculator!$A$6:$A$23,0)),0))*(1+Constants!$B$23*Calculator!$C$27)/1000)*(1+Calculator!$C$45+Calculator!$C$37)*Calculator!$C$39*(1-(1-MIN(Calculator!$C$44,MIN(1,E207+Calculator!$E$6/10*Constants!$B$16+Calculator!$C$36+Calculator!$C$40+Constants!$B$24*Calculator!$C$27)))*Constants!$B$6)</f>
        <v>25.45170020775</v>
      </c>
    </row>
    <row r="208" customFormat="false" ht="15" hidden="false" customHeight="false" outlineLevel="0" collapsed="false">
      <c r="A208" s="4" t="s">
        <v>2990</v>
      </c>
      <c r="B208" s="4" t="s">
        <v>2690</v>
      </c>
      <c r="C208" s="4" t="s">
        <v>2991</v>
      </c>
      <c r="D208" s="4" t="n">
        <v>20</v>
      </c>
      <c r="E208" s="4" t="n">
        <v>0</v>
      </c>
      <c r="F208" s="4" t="s">
        <v>55</v>
      </c>
      <c r="G208" s="4" t="n">
        <v>5.5</v>
      </c>
      <c r="H208" s="4" t="s">
        <v>51</v>
      </c>
      <c r="I208" s="4" t="n">
        <v>1</v>
      </c>
      <c r="J208" s="4"/>
      <c r="K208" s="4" t="n">
        <v>0</v>
      </c>
      <c r="L208" s="24" t="n">
        <f aca="false">D208*(1+0.75*(IFERROR(G208*INDEX(Calculator!$E$6:$E$23,MATCH(F208,Calculator!$A$6:$A$23,0)),0)+IFERROR(I208*INDEX(Calculator!$E$6:$E$23,MATCH(H208,Calculator!$A$6:$A$23,0)),0)+IFERROR(K208*INDEX(Calculator!$E$6:$E$23,MATCH(J208,Calculator!$A$6:$A$23,0)),0))*(1+Constants!$B$23*Calculator!$C$27)/1000)*(1+Calculator!$C$45+Calculator!$C$37)*Calculator!$C$39*(1-(1-MIN(Calculator!$C$44,MIN(1,E208+Calculator!$E$6/10*Constants!$B$16+Calculator!$C$36+Calculator!$C$40+Constants!$B$24*Calculator!$C$27)))*Constants!$B$6)</f>
        <v>28.2086660235</v>
      </c>
    </row>
    <row r="209" customFormat="false" ht="15" hidden="false" customHeight="false" outlineLevel="0" collapsed="false">
      <c r="A209" s="4" t="s">
        <v>2992</v>
      </c>
      <c r="B209" s="4" t="s">
        <v>2891</v>
      </c>
      <c r="C209" s="4" t="s">
        <v>603</v>
      </c>
      <c r="D209" s="4" t="n">
        <v>16</v>
      </c>
      <c r="E209" s="4" t="n">
        <v>0.1</v>
      </c>
      <c r="F209" s="4" t="s">
        <v>55</v>
      </c>
      <c r="G209" s="4" t="n">
        <v>5</v>
      </c>
      <c r="H209" s="4"/>
      <c r="I209" s="4" t="n">
        <v>0</v>
      </c>
      <c r="J209" s="4"/>
      <c r="K209" s="4" t="n">
        <v>0</v>
      </c>
      <c r="L209" s="24" t="n">
        <f aca="false">D209*(1+0.75*(IFERROR(G209*INDEX(Calculator!$E$6:$E$23,MATCH(F209,Calculator!$A$6:$A$23,0)),0)+IFERROR(I209*INDEX(Calculator!$E$6:$E$23,MATCH(H209,Calculator!$A$6:$A$23,0)),0)+IFERROR(K209*INDEX(Calculator!$E$6:$E$23,MATCH(J209,Calculator!$A$6:$A$23,0)),0))*(1+Constants!$B$23*Calculator!$C$27)/1000)*(1+Calculator!$C$45+Calculator!$C$37)*Calculator!$C$39*(1-(1-MIN(Calculator!$C$44,MIN(1,E209+Calculator!$E$6/10*Constants!$B$16+Calculator!$C$36+Calculator!$C$40+Constants!$B$24*Calculator!$C$27)))*Constants!$B$6)</f>
        <v>22.436756808</v>
      </c>
    </row>
    <row r="210" customFormat="false" ht="15" hidden="false" customHeight="false" outlineLevel="0" collapsed="false">
      <c r="A210" s="4" t="s">
        <v>2993</v>
      </c>
      <c r="B210" s="4" t="s">
        <v>2690</v>
      </c>
      <c r="C210" s="4" t="s">
        <v>680</v>
      </c>
      <c r="D210" s="4" t="n">
        <v>19</v>
      </c>
      <c r="E210" s="4" t="n">
        <v>0.25</v>
      </c>
      <c r="F210" s="4" t="s">
        <v>55</v>
      </c>
      <c r="G210" s="4" t="n">
        <v>6</v>
      </c>
      <c r="H210" s="4"/>
      <c r="I210" s="4" t="n">
        <v>0</v>
      </c>
      <c r="J210" s="4"/>
      <c r="K210" s="4" t="n">
        <v>0</v>
      </c>
      <c r="L210" s="24" t="n">
        <f aca="false">D210*(1+0.75*(IFERROR(G210*INDEX(Calculator!$E$6:$E$23,MATCH(F210,Calculator!$A$6:$A$23,0)),0)+IFERROR(I210*INDEX(Calculator!$E$6:$E$23,MATCH(H210,Calculator!$A$6:$A$23,0)),0)+IFERROR(K210*INDEX(Calculator!$E$6:$E$23,MATCH(J210,Calculator!$A$6:$A$23,0)),0))*(1+Constants!$B$23*Calculator!$C$27)/1000)*(1+Calculator!$C$45+Calculator!$C$37)*Calculator!$C$39*(1-(1-MIN(Calculator!$C$44,MIN(1,E210+Calculator!$E$6/10*Constants!$B$16+Calculator!$C$36+Calculator!$C$40+Constants!$B$24*Calculator!$C$27)))*Constants!$B$6)</f>
        <v>29.9169792564</v>
      </c>
    </row>
    <row r="211" customFormat="false" ht="15" hidden="false" customHeight="false" outlineLevel="0" collapsed="false">
      <c r="A211" s="4" t="s">
        <v>2994</v>
      </c>
      <c r="B211" s="4" t="s">
        <v>2690</v>
      </c>
      <c r="C211" s="4" t="s">
        <v>1613</v>
      </c>
      <c r="D211" s="4" t="n">
        <v>18.5</v>
      </c>
      <c r="E211" s="4" t="n">
        <v>0.2</v>
      </c>
      <c r="F211" s="4" t="s">
        <v>55</v>
      </c>
      <c r="G211" s="4" t="n">
        <v>7</v>
      </c>
      <c r="H211" s="4"/>
      <c r="I211" s="4" t="n">
        <v>0</v>
      </c>
      <c r="J211" s="4"/>
      <c r="K211" s="4" t="n">
        <v>0</v>
      </c>
      <c r="L211" s="24" t="n">
        <f aca="false">D211*(1+0.75*(IFERROR(G211*INDEX(Calculator!$E$6:$E$23,MATCH(F211,Calculator!$A$6:$A$23,0)),0)+IFERROR(I211*INDEX(Calculator!$E$6:$E$23,MATCH(H211,Calculator!$A$6:$A$23,0)),0)+IFERROR(K211*INDEX(Calculator!$E$6:$E$23,MATCH(J211,Calculator!$A$6:$A$23,0)),0))*(1+Constants!$B$23*Calculator!$C$27)/1000)*(1+Calculator!$C$45+Calculator!$C$37)*Calculator!$C$39*(1-(1-MIN(Calculator!$C$44,MIN(1,E211+Calculator!$E$6/10*Constants!$B$16+Calculator!$C$36+Calculator!$C$40+Constants!$B$24*Calculator!$C$27)))*Constants!$B$6)</f>
        <v>30.22490050545</v>
      </c>
    </row>
    <row r="212" customFormat="false" ht="15" hidden="false" customHeight="false" outlineLevel="0" collapsed="false">
      <c r="A212" s="4" t="s">
        <v>2995</v>
      </c>
      <c r="B212" s="4" t="s">
        <v>2698</v>
      </c>
      <c r="C212" s="4" t="s">
        <v>2996</v>
      </c>
      <c r="D212" s="4" t="n">
        <v>13</v>
      </c>
      <c r="E212" s="4" t="n">
        <v>0</v>
      </c>
      <c r="F212" s="4" t="s">
        <v>55</v>
      </c>
      <c r="G212" s="4" t="n">
        <v>12</v>
      </c>
      <c r="H212" s="4"/>
      <c r="I212" s="4" t="n">
        <v>0</v>
      </c>
      <c r="J212" s="4"/>
      <c r="K212" s="4" t="n">
        <v>0</v>
      </c>
      <c r="L212" s="24" t="n">
        <f aca="false">D212*(1+0.75*(IFERROR(G212*INDEX(Calculator!$E$6:$E$23,MATCH(F212,Calculator!$A$6:$A$23,0)),0)+IFERROR(I212*INDEX(Calculator!$E$6:$E$23,MATCH(H212,Calculator!$A$6:$A$23,0)),0)+IFERROR(K212*INDEX(Calculator!$E$6:$E$23,MATCH(J212,Calculator!$A$6:$A$23,0)),0))*(1+Constants!$B$23*Calculator!$C$27)/1000)*(1+Calculator!$C$45+Calculator!$C$37)*Calculator!$C$39*(1-(1-MIN(Calculator!$C$44,MIN(1,E212+Calculator!$E$6/10*Constants!$B$16+Calculator!$C$36+Calculator!$C$40+Constants!$B$24*Calculator!$C$27)))*Constants!$B$6)</f>
        <v>24.9467017956</v>
      </c>
    </row>
    <row r="213" customFormat="false" ht="15" hidden="false" customHeight="false" outlineLevel="0" collapsed="false">
      <c r="A213" s="4" t="s">
        <v>2997</v>
      </c>
      <c r="B213" s="4" t="s">
        <v>2898</v>
      </c>
      <c r="C213" s="4" t="s">
        <v>2998</v>
      </c>
      <c r="D213" s="4" t="n">
        <v>26</v>
      </c>
      <c r="E213" s="4" t="n">
        <v>0.1</v>
      </c>
      <c r="F213" s="4" t="s">
        <v>53</v>
      </c>
      <c r="G213" s="4" t="n">
        <v>9</v>
      </c>
      <c r="H213" s="4"/>
      <c r="I213" s="4" t="n">
        <v>0</v>
      </c>
      <c r="J213" s="4"/>
      <c r="K213" s="4" t="n">
        <v>0</v>
      </c>
      <c r="L213" s="24" t="n">
        <f aca="false">D213*(1+0.75*(IFERROR(G213*INDEX(Calculator!$E$6:$E$23,MATCH(F213,Calculator!$A$6:$A$23,0)),0)+IFERROR(I213*INDEX(Calculator!$E$6:$E$23,MATCH(H213,Calculator!$A$6:$A$23,0)),0)+IFERROR(K213*INDEX(Calculator!$E$6:$E$23,MATCH(J213,Calculator!$A$6:$A$23,0)),0))*(1+Constants!$B$23*Calculator!$C$27)/1000)*(1+Calculator!$C$45+Calculator!$C$37)*Calculator!$C$39*(1-(1-MIN(Calculator!$C$44,MIN(1,E213+Calculator!$E$6/10*Constants!$B$16+Calculator!$C$36+Calculator!$C$40+Constants!$B$24*Calculator!$C$27)))*Constants!$B$6)</f>
        <v>25.41279</v>
      </c>
    </row>
    <row r="214" customFormat="false" ht="15" hidden="false" customHeight="false" outlineLevel="0" collapsed="false">
      <c r="A214" s="4" t="s">
        <v>2999</v>
      </c>
      <c r="B214" s="4" t="s">
        <v>2860</v>
      </c>
      <c r="C214" s="4" t="s">
        <v>3000</v>
      </c>
      <c r="D214" s="4" t="n">
        <v>17</v>
      </c>
      <c r="E214" s="4" t="n">
        <v>0</v>
      </c>
      <c r="F214" s="4" t="s">
        <v>55</v>
      </c>
      <c r="G214" s="4" t="n">
        <v>4</v>
      </c>
      <c r="H214" s="4" t="s">
        <v>59</v>
      </c>
      <c r="I214" s="4" t="n">
        <v>3</v>
      </c>
      <c r="J214" s="4" t="s">
        <v>61</v>
      </c>
      <c r="K214" s="4" t="n">
        <v>3</v>
      </c>
      <c r="L214" s="24" t="n">
        <f aca="false">D214*(1+0.75*(IFERROR(G214*INDEX(Calculator!$E$6:$E$23,MATCH(F214,Calculator!$A$6:$A$23,0)),0)+IFERROR(I214*INDEX(Calculator!$E$6:$E$23,MATCH(H214,Calculator!$A$6:$A$23,0)),0)+IFERROR(K214*INDEX(Calculator!$E$6:$E$23,MATCH(J214,Calculator!$A$6:$A$23,0)),0))*(1+Constants!$B$23*Calculator!$C$27)/1000)*(1+Calculator!$C$45+Calculator!$C$37)*Calculator!$C$39*(1-(1-MIN(Calculator!$C$44,MIN(1,E214+Calculator!$E$6/10*Constants!$B$16+Calculator!$C$36+Calculator!$C$40+Constants!$B$24*Calculator!$C$27)))*Constants!$B$6)</f>
        <v>21.5180733468</v>
      </c>
    </row>
    <row r="215" customFormat="false" ht="15" hidden="false" customHeight="false" outlineLevel="0" collapsed="false">
      <c r="A215" s="4" t="s">
        <v>3001</v>
      </c>
      <c r="B215" s="4" t="s">
        <v>2698</v>
      </c>
      <c r="C215" s="4" t="s">
        <v>2691</v>
      </c>
      <c r="D215" s="4" t="n">
        <v>20</v>
      </c>
      <c r="E215" s="4" t="n">
        <v>0</v>
      </c>
      <c r="F215" s="4" t="s">
        <v>55</v>
      </c>
      <c r="G215" s="4" t="n">
        <v>6</v>
      </c>
      <c r="H215" s="4"/>
      <c r="I215" s="4" t="n">
        <v>0</v>
      </c>
      <c r="J215" s="4"/>
      <c r="K215" s="4" t="n">
        <v>0</v>
      </c>
      <c r="L215" s="24" t="n">
        <f aca="false">D215*(1+0.75*(IFERROR(G215*INDEX(Calculator!$E$6:$E$23,MATCH(F215,Calculator!$A$6:$A$23,0)),0)+IFERROR(I215*INDEX(Calculator!$E$6:$E$23,MATCH(H215,Calculator!$A$6:$A$23,0)),0)+IFERROR(K215*INDEX(Calculator!$E$6:$E$23,MATCH(J215,Calculator!$A$6:$A$23,0)),0))*(1+Constants!$B$23*Calculator!$C$27)/1000)*(1+Calculator!$C$45+Calculator!$C$37)*Calculator!$C$39*(1-(1-MIN(Calculator!$C$44,MIN(1,E215+Calculator!$E$6/10*Constants!$B$16+Calculator!$C$36+Calculator!$C$40+Constants!$B$24*Calculator!$C$27)))*Constants!$B$6)</f>
        <v>28.581420612</v>
      </c>
    </row>
    <row r="216" customFormat="false" ht="15" hidden="false" customHeight="false" outlineLevel="0" collapsed="false">
      <c r="A216" s="4" t="s">
        <v>3002</v>
      </c>
      <c r="B216" s="4" t="s">
        <v>2726</v>
      </c>
      <c r="C216" s="4" t="s">
        <v>3003</v>
      </c>
      <c r="D216" s="4" t="n">
        <v>13.5</v>
      </c>
      <c r="E216" s="4" t="n">
        <v>0</v>
      </c>
      <c r="F216" s="4" t="s">
        <v>57</v>
      </c>
      <c r="G216" s="4" t="n">
        <v>8</v>
      </c>
      <c r="H216" s="4" t="s">
        <v>51</v>
      </c>
      <c r="I216" s="4" t="n">
        <v>3.5</v>
      </c>
      <c r="J216" s="4"/>
      <c r="K216" s="4" t="n">
        <v>0</v>
      </c>
      <c r="L216" s="24" t="n">
        <f aca="false">D216*(1+0.75*(IFERROR(G216*INDEX(Calculator!$E$6:$E$23,MATCH(F216,Calculator!$A$6:$A$23,0)),0)+IFERROR(I216*INDEX(Calculator!$E$6:$E$23,MATCH(H216,Calculator!$A$6:$A$23,0)),0)+IFERROR(K216*INDEX(Calculator!$E$6:$E$23,MATCH(J216,Calculator!$A$6:$A$23,0)),0))*(1+Constants!$B$23*Calculator!$C$27)/1000)*(1+Calculator!$C$45+Calculator!$C$37)*Calculator!$C$39*(1-(1-MIN(Calculator!$C$44,MIN(1,E216+Calculator!$E$6/10*Constants!$B$16+Calculator!$C$36+Calculator!$C$40+Constants!$B$24*Calculator!$C$27)))*Constants!$B$6)</f>
        <v>13.7270997801563</v>
      </c>
    </row>
    <row r="217" customFormat="false" ht="15" hidden="false" customHeight="false" outlineLevel="0" collapsed="false">
      <c r="A217" s="4" t="s">
        <v>3004</v>
      </c>
      <c r="B217" s="4" t="s">
        <v>2698</v>
      </c>
      <c r="C217" s="4" t="s">
        <v>680</v>
      </c>
      <c r="D217" s="4" t="n">
        <v>17</v>
      </c>
      <c r="E217" s="4" t="n">
        <v>0</v>
      </c>
      <c r="F217" s="4" t="s">
        <v>55</v>
      </c>
      <c r="G217" s="4" t="n">
        <v>7</v>
      </c>
      <c r="H217" s="4"/>
      <c r="I217" s="4" t="n">
        <v>0</v>
      </c>
      <c r="J217" s="4"/>
      <c r="K217" s="4" t="n">
        <v>0</v>
      </c>
      <c r="L217" s="24" t="n">
        <f aca="false">D217*(1+0.75*(IFERROR(G217*INDEX(Calculator!$E$6:$E$23,MATCH(F217,Calculator!$A$6:$A$23,0)),0)+IFERROR(I217*INDEX(Calculator!$E$6:$E$23,MATCH(H217,Calculator!$A$6:$A$23,0)),0)+IFERROR(K217*INDEX(Calculator!$E$6:$E$23,MATCH(J217,Calculator!$A$6:$A$23,0)),0))*(1+Constants!$B$23*Calculator!$C$27)/1000)*(1+Calculator!$C$45+Calculator!$C$37)*Calculator!$C$39*(1-(1-MIN(Calculator!$C$44,MIN(1,E217+Calculator!$E$6/10*Constants!$B$16+Calculator!$C$36+Calculator!$C$40+Constants!$B$24*Calculator!$C$27)))*Constants!$B$6)</f>
        <v>25.6822746069</v>
      </c>
    </row>
    <row r="218" customFormat="false" ht="15" hidden="false" customHeight="false" outlineLevel="0" collapsed="false">
      <c r="A218" s="4" t="s">
        <v>3005</v>
      </c>
      <c r="B218" s="4" t="s">
        <v>2706</v>
      </c>
      <c r="C218" s="4" t="s">
        <v>2737</v>
      </c>
      <c r="D218" s="4" t="n">
        <v>27</v>
      </c>
      <c r="E218" s="4" t="n">
        <v>0</v>
      </c>
      <c r="F218" s="4" t="s">
        <v>53</v>
      </c>
      <c r="G218" s="4" t="n">
        <v>10</v>
      </c>
      <c r="H218" s="4"/>
      <c r="I218" s="4" t="n">
        <v>0</v>
      </c>
      <c r="J218" s="4"/>
      <c r="K218" s="4" t="n">
        <v>0</v>
      </c>
      <c r="L218" s="24" t="n">
        <f aca="false">D218*(1+0.75*(IFERROR(G218*INDEX(Calculator!$E$6:$E$23,MATCH(F218,Calculator!$A$6:$A$23,0)),0)+IFERROR(I218*INDEX(Calculator!$E$6:$E$23,MATCH(H218,Calculator!$A$6:$A$23,0)),0)+IFERROR(K218*INDEX(Calculator!$E$6:$E$23,MATCH(J218,Calculator!$A$6:$A$23,0)),0))*(1+Constants!$B$23*Calculator!$C$27)/1000)*(1+Calculator!$C$45+Calculator!$C$37)*Calculator!$C$39*(1-(1-MIN(Calculator!$C$44,MIN(1,E218+Calculator!$E$6/10*Constants!$B$16+Calculator!$C$36+Calculator!$C$40+Constants!$B$24*Calculator!$C$27)))*Constants!$B$6)</f>
        <v>25.357455</v>
      </c>
    </row>
    <row r="219" customFormat="false" ht="15" hidden="false" customHeight="false" outlineLevel="0" collapsed="false">
      <c r="A219" s="4" t="s">
        <v>3006</v>
      </c>
      <c r="B219" s="4" t="s">
        <v>2690</v>
      </c>
      <c r="C219" s="4" t="s">
        <v>3007</v>
      </c>
      <c r="D219" s="4" t="n">
        <v>17.5</v>
      </c>
      <c r="E219" s="4" t="n">
        <v>0.15</v>
      </c>
      <c r="F219" s="4" t="s">
        <v>55</v>
      </c>
      <c r="G219" s="4" t="n">
        <v>5</v>
      </c>
      <c r="H219" s="4" t="s">
        <v>67</v>
      </c>
      <c r="I219" s="4" t="n">
        <v>6.5</v>
      </c>
      <c r="J219" s="4"/>
      <c r="K219" s="4" t="n">
        <v>0</v>
      </c>
      <c r="L219" s="24" t="n">
        <f aca="false">D219*(1+0.75*(IFERROR(G219*INDEX(Calculator!$E$6:$E$23,MATCH(F219,Calculator!$A$6:$A$23,0)),0)+IFERROR(I219*INDEX(Calculator!$E$6:$E$23,MATCH(H219,Calculator!$A$6:$A$23,0)),0)+IFERROR(K219*INDEX(Calculator!$E$6:$E$23,MATCH(J219,Calculator!$A$6:$A$23,0)),0))*(1+Constants!$B$23*Calculator!$C$27)/1000)*(1+Calculator!$C$45+Calculator!$C$37)*Calculator!$C$39*(1-(1-MIN(Calculator!$C$44,MIN(1,E219+Calculator!$E$6/10*Constants!$B$16+Calculator!$C$36+Calculator!$C$40+Constants!$B$24*Calculator!$C$27)))*Constants!$B$6)</f>
        <v>25.020378915</v>
      </c>
    </row>
    <row r="220" customFormat="false" ht="15" hidden="false" customHeight="false" outlineLevel="0" collapsed="false">
      <c r="A220" s="4" t="s">
        <v>3008</v>
      </c>
      <c r="B220" s="4" t="s">
        <v>2718</v>
      </c>
      <c r="C220" s="4" t="s">
        <v>1269</v>
      </c>
      <c r="D220" s="4" t="n">
        <v>15.5</v>
      </c>
      <c r="E220" s="4" t="n">
        <v>0.05</v>
      </c>
      <c r="F220" s="4" t="s">
        <v>57</v>
      </c>
      <c r="G220" s="4" t="n">
        <v>5</v>
      </c>
      <c r="H220" s="4"/>
      <c r="I220" s="4" t="n">
        <v>0</v>
      </c>
      <c r="J220" s="4"/>
      <c r="K220" s="4" t="n">
        <v>0</v>
      </c>
      <c r="L220" s="24" t="n">
        <f aca="false">D220*(1+0.75*(IFERROR(G220*INDEX(Calculator!$E$6:$E$23,MATCH(F220,Calculator!$A$6:$A$23,0)),0)+IFERROR(I220*INDEX(Calculator!$E$6:$E$23,MATCH(H220,Calculator!$A$6:$A$23,0)),0)+IFERROR(K220*INDEX(Calculator!$E$6:$E$23,MATCH(J220,Calculator!$A$6:$A$23,0)),0))*(1+Constants!$B$23*Calculator!$C$27)/1000)*(1+Calculator!$C$45+Calculator!$C$37)*Calculator!$C$39*(1-(1-MIN(Calculator!$C$44,MIN(1,E220+Calculator!$E$6/10*Constants!$B$16+Calculator!$C$36+Calculator!$C$40+Constants!$B$24*Calculator!$C$27)))*Constants!$B$6)</f>
        <v>14.853495</v>
      </c>
    </row>
    <row r="221" customFormat="false" ht="15" hidden="false" customHeight="false" outlineLevel="0" collapsed="false">
      <c r="A221" s="4" t="s">
        <v>3009</v>
      </c>
      <c r="B221" s="4" t="s">
        <v>2860</v>
      </c>
      <c r="C221" s="4" t="s">
        <v>2691</v>
      </c>
      <c r="D221" s="4" t="n">
        <v>16</v>
      </c>
      <c r="E221" s="4" t="n">
        <v>0</v>
      </c>
      <c r="F221" s="4" t="s">
        <v>55</v>
      </c>
      <c r="G221" s="4" t="n">
        <v>5</v>
      </c>
      <c r="H221" s="4"/>
      <c r="I221" s="4" t="n">
        <v>0</v>
      </c>
      <c r="J221" s="4"/>
      <c r="K221" s="4" t="n">
        <v>0</v>
      </c>
      <c r="L221" s="24" t="n">
        <f aca="false">D221*(1+0.75*(IFERROR(G221*INDEX(Calculator!$E$6:$E$23,MATCH(F221,Calculator!$A$6:$A$23,0)),0)+IFERROR(I221*INDEX(Calculator!$E$6:$E$23,MATCH(H221,Calculator!$A$6:$A$23,0)),0)+IFERROR(K221*INDEX(Calculator!$E$6:$E$23,MATCH(J221,Calculator!$A$6:$A$23,0)),0))*(1+Constants!$B$23*Calculator!$C$27)/1000)*(1+Calculator!$C$45+Calculator!$C$37)*Calculator!$C$39*(1-(1-MIN(Calculator!$C$44,MIN(1,E221+Calculator!$E$6/10*Constants!$B$16+Calculator!$C$36+Calculator!$C$40+Constants!$B$24*Calculator!$C$27)))*Constants!$B$6)</f>
        <v>21.558720408</v>
      </c>
    </row>
    <row r="222" customFormat="false" ht="15" hidden="false" customHeight="false" outlineLevel="0" collapsed="false">
      <c r="A222" s="4" t="s">
        <v>3010</v>
      </c>
      <c r="B222" s="4" t="s">
        <v>2726</v>
      </c>
      <c r="C222" s="4" t="s">
        <v>3011</v>
      </c>
      <c r="D222" s="4" t="n">
        <v>15</v>
      </c>
      <c r="E222" s="4" t="n">
        <v>0.1</v>
      </c>
      <c r="F222" s="4" t="s">
        <v>57</v>
      </c>
      <c r="G222" s="4" t="n">
        <v>5</v>
      </c>
      <c r="H222" s="4" t="s">
        <v>71</v>
      </c>
      <c r="I222" s="4" t="n">
        <v>5</v>
      </c>
      <c r="J222" s="4"/>
      <c r="K222" s="4" t="n">
        <v>0</v>
      </c>
      <c r="L222" s="24" t="n">
        <f aca="false">D222*(1+0.75*(IFERROR(G222*INDEX(Calculator!$E$6:$E$23,MATCH(F222,Calculator!$A$6:$A$23,0)),0)+IFERROR(I222*INDEX(Calculator!$E$6:$E$23,MATCH(H222,Calculator!$A$6:$A$23,0)),0)+IFERROR(K222*INDEX(Calculator!$E$6:$E$23,MATCH(J222,Calculator!$A$6:$A$23,0)),0))*(1+Constants!$B$23*Calculator!$C$27)/1000)*(1+Calculator!$C$45+Calculator!$C$37)*Calculator!$C$39*(1-(1-MIN(Calculator!$C$44,MIN(1,E222+Calculator!$E$6/10*Constants!$B$16+Calculator!$C$36+Calculator!$C$40+Constants!$B$24*Calculator!$C$27)))*Constants!$B$6)</f>
        <v>14.661225</v>
      </c>
    </row>
    <row r="223" customFormat="false" ht="15" hidden="false" customHeight="false" outlineLevel="0" collapsed="false">
      <c r="A223" s="4" t="s">
        <v>3012</v>
      </c>
      <c r="B223" s="4" t="s">
        <v>2706</v>
      </c>
      <c r="C223" s="4" t="s">
        <v>3013</v>
      </c>
      <c r="D223" s="4" t="n">
        <v>22</v>
      </c>
      <c r="E223" s="4" t="n">
        <v>0.15</v>
      </c>
      <c r="F223" s="4" t="s">
        <v>53</v>
      </c>
      <c r="G223" s="4" t="n">
        <v>5</v>
      </c>
      <c r="H223" s="4" t="s">
        <v>65</v>
      </c>
      <c r="I223" s="4" t="n">
        <v>8</v>
      </c>
      <c r="J223" s="4"/>
      <c r="K223" s="4" t="n">
        <v>0</v>
      </c>
      <c r="L223" s="24" t="n">
        <f aca="false">D223*(1+0.75*(IFERROR(G223*INDEX(Calculator!$E$6:$E$23,MATCH(F223,Calculator!$A$6:$A$23,0)),0)+IFERROR(I223*INDEX(Calculator!$E$6:$E$23,MATCH(H223,Calculator!$A$6:$A$23,0)),0)+IFERROR(K223*INDEX(Calculator!$E$6:$E$23,MATCH(J223,Calculator!$A$6:$A$23,0)),0))*(1+Constants!$B$23*Calculator!$C$27)/1000)*(1+Calculator!$C$45+Calculator!$C$37)*Calculator!$C$39*(1-(1-MIN(Calculator!$C$44,MIN(1,E223+Calculator!$E$6/10*Constants!$B$16+Calculator!$C$36+Calculator!$C$40+Constants!$B$24*Calculator!$C$27)))*Constants!$B$6)</f>
        <v>21.92388</v>
      </c>
    </row>
    <row r="224" customFormat="false" ht="15" hidden="false" customHeight="false" outlineLevel="0" collapsed="false">
      <c r="A224" s="4" t="s">
        <v>3014</v>
      </c>
      <c r="B224" s="4" t="s">
        <v>2698</v>
      </c>
      <c r="C224" s="4" t="s">
        <v>3015</v>
      </c>
      <c r="D224" s="4" t="n">
        <v>17.5</v>
      </c>
      <c r="E224" s="4" t="n">
        <v>0.1</v>
      </c>
      <c r="F224" s="4" t="s">
        <v>55</v>
      </c>
      <c r="G224" s="4" t="n">
        <v>7</v>
      </c>
      <c r="H224" s="4"/>
      <c r="I224" s="4" t="n">
        <v>0</v>
      </c>
      <c r="J224" s="4"/>
      <c r="K224" s="4" t="n">
        <v>0</v>
      </c>
      <c r="L224" s="24" t="n">
        <f aca="false">D224*(1+0.75*(IFERROR(G224*INDEX(Calculator!$E$6:$E$23,MATCH(F224,Calculator!$A$6:$A$23,0)),0)+IFERROR(I224*INDEX(Calculator!$E$6:$E$23,MATCH(H224,Calculator!$A$6:$A$23,0)),0)+IFERROR(K224*INDEX(Calculator!$E$6:$E$23,MATCH(J224,Calculator!$A$6:$A$23,0)),0))*(1+Constants!$B$23*Calculator!$C$27)/1000)*(1+Calculator!$C$45+Calculator!$C$37)*Calculator!$C$39*(1-(1-MIN(Calculator!$C$44,MIN(1,E224+Calculator!$E$6/10*Constants!$B$16+Calculator!$C$36+Calculator!$C$40+Constants!$B$24*Calculator!$C$27)))*Constants!$B$6)</f>
        <v>27.51437886225</v>
      </c>
    </row>
    <row r="225" customFormat="false" ht="15" hidden="false" customHeight="false" outlineLevel="0" collapsed="false">
      <c r="A225" s="4" t="s">
        <v>3016</v>
      </c>
      <c r="B225" s="4" t="s">
        <v>2786</v>
      </c>
      <c r="C225" s="4" t="s">
        <v>585</v>
      </c>
      <c r="D225" s="4" t="n">
        <v>16</v>
      </c>
      <c r="E225" s="4" t="n">
        <v>0.05</v>
      </c>
      <c r="F225" s="4" t="s">
        <v>55</v>
      </c>
      <c r="G225" s="4" t="n">
        <v>5</v>
      </c>
      <c r="H225" s="4"/>
      <c r="I225" s="4" t="n">
        <v>0</v>
      </c>
      <c r="J225" s="4"/>
      <c r="K225" s="4" t="n">
        <v>0</v>
      </c>
      <c r="L225" s="24" t="n">
        <f aca="false">D225*(1+0.75*(IFERROR(G225*INDEX(Calculator!$E$6:$E$23,MATCH(F225,Calculator!$A$6:$A$23,0)),0)+IFERROR(I225*INDEX(Calculator!$E$6:$E$23,MATCH(H225,Calculator!$A$6:$A$23,0)),0)+IFERROR(K225*INDEX(Calculator!$E$6:$E$23,MATCH(J225,Calculator!$A$6:$A$23,0)),0))*(1+Constants!$B$23*Calculator!$C$27)/1000)*(1+Calculator!$C$45+Calculator!$C$37)*Calculator!$C$39*(1-(1-MIN(Calculator!$C$44,MIN(1,E225+Calculator!$E$6/10*Constants!$B$16+Calculator!$C$36+Calculator!$C$40+Constants!$B$24*Calculator!$C$27)))*Constants!$B$6)</f>
        <v>21.997738608</v>
      </c>
    </row>
    <row r="226" customFormat="false" ht="15" hidden="false" customHeight="false" outlineLevel="0" collapsed="false">
      <c r="A226" s="4" t="s">
        <v>3017</v>
      </c>
      <c r="B226" s="4" t="s">
        <v>2726</v>
      </c>
      <c r="C226" s="4" t="s">
        <v>3018</v>
      </c>
      <c r="D226" s="4" t="n">
        <v>16.5</v>
      </c>
      <c r="E226" s="4" t="n">
        <v>0.15</v>
      </c>
      <c r="F226" s="4" t="s">
        <v>57</v>
      </c>
      <c r="G226" s="4" t="n">
        <v>8</v>
      </c>
      <c r="H226" s="4"/>
      <c r="I226" s="4" t="n">
        <v>0</v>
      </c>
      <c r="J226" s="4"/>
      <c r="K226" s="4" t="n">
        <v>0</v>
      </c>
      <c r="L226" s="24" t="n">
        <f aca="false">D226*(1+0.75*(IFERROR(G226*INDEX(Calculator!$E$6:$E$23,MATCH(F226,Calculator!$A$6:$A$23,0)),0)+IFERROR(I226*INDEX(Calculator!$E$6:$E$23,MATCH(H226,Calculator!$A$6:$A$23,0)),0)+IFERROR(K226*INDEX(Calculator!$E$6:$E$23,MATCH(J226,Calculator!$A$6:$A$23,0)),0))*(1+Constants!$B$23*Calculator!$C$27)/1000)*(1+Calculator!$C$45+Calculator!$C$37)*Calculator!$C$39*(1-(1-MIN(Calculator!$C$44,MIN(1,E226+Calculator!$E$6/10*Constants!$B$16+Calculator!$C$36+Calculator!$C$40+Constants!$B$24*Calculator!$C$27)))*Constants!$B$6)</f>
        <v>16.44291</v>
      </c>
    </row>
    <row r="227" customFormat="false" ht="15" hidden="false" customHeight="false" outlineLevel="0" collapsed="false">
      <c r="A227" s="4" t="s">
        <v>3019</v>
      </c>
      <c r="B227" s="4" t="s">
        <v>2698</v>
      </c>
      <c r="C227" s="4" t="s">
        <v>603</v>
      </c>
      <c r="D227" s="4" t="n">
        <v>19</v>
      </c>
      <c r="E227" s="4" t="n">
        <v>0</v>
      </c>
      <c r="F227" s="4" t="s">
        <v>55</v>
      </c>
      <c r="G227" s="4" t="n">
        <v>4</v>
      </c>
      <c r="H227" s="4"/>
      <c r="I227" s="4" t="n">
        <v>0</v>
      </c>
      <c r="J227" s="4"/>
      <c r="K227" s="4" t="n">
        <v>0</v>
      </c>
      <c r="L227" s="24" t="n">
        <f aca="false">D227*(1+0.75*(IFERROR(G227*INDEX(Calculator!$E$6:$E$23,MATCH(F227,Calculator!$A$6:$A$23,0)),0)+IFERROR(I227*INDEX(Calculator!$E$6:$E$23,MATCH(H227,Calculator!$A$6:$A$23,0)),0)+IFERROR(K227*INDEX(Calculator!$E$6:$E$23,MATCH(J227,Calculator!$A$6:$A$23,0)),0))*(1+Constants!$B$23*Calculator!$C$27)/1000)*(1+Calculator!$C$45+Calculator!$C$37)*Calculator!$C$39*(1-(1-MIN(Calculator!$C$44,MIN(1,E227+Calculator!$E$6/10*Constants!$B$16+Calculator!$C$36+Calculator!$C$40+Constants!$B$24*Calculator!$C$27)))*Constants!$B$6)</f>
        <v>24.0496113876</v>
      </c>
    </row>
    <row r="228" customFormat="false" ht="15" hidden="false" customHeight="false" outlineLevel="0" collapsed="false">
      <c r="A228" s="4" t="s">
        <v>3020</v>
      </c>
      <c r="B228" s="4" t="s">
        <v>2726</v>
      </c>
      <c r="C228" s="4" t="s">
        <v>3021</v>
      </c>
      <c r="D228" s="4" t="n">
        <v>15.5</v>
      </c>
      <c r="E228" s="4" t="n">
        <v>0.1</v>
      </c>
      <c r="F228" s="4" t="s">
        <v>57</v>
      </c>
      <c r="G228" s="4" t="n">
        <v>4</v>
      </c>
      <c r="H228" s="4" t="s">
        <v>65</v>
      </c>
      <c r="I228" s="4" t="n">
        <v>5.5</v>
      </c>
      <c r="J228" s="4"/>
      <c r="K228" s="4" t="n">
        <v>0</v>
      </c>
      <c r="L228" s="24" t="n">
        <f aca="false">D228*(1+0.75*(IFERROR(G228*INDEX(Calculator!$E$6:$E$23,MATCH(F228,Calculator!$A$6:$A$23,0)),0)+IFERROR(I228*INDEX(Calculator!$E$6:$E$23,MATCH(H228,Calculator!$A$6:$A$23,0)),0)+IFERROR(K228*INDEX(Calculator!$E$6:$E$23,MATCH(J228,Calculator!$A$6:$A$23,0)),0))*(1+Constants!$B$23*Calculator!$C$27)/1000)*(1+Calculator!$C$45+Calculator!$C$37)*Calculator!$C$39*(1-(1-MIN(Calculator!$C$44,MIN(1,E228+Calculator!$E$6/10*Constants!$B$16+Calculator!$C$36+Calculator!$C$40+Constants!$B$24*Calculator!$C$27)))*Constants!$B$6)</f>
        <v>15.1499325</v>
      </c>
    </row>
    <row r="229" customFormat="false" ht="15" hidden="false" customHeight="false" outlineLevel="0" collapsed="false">
      <c r="A229" s="4" t="s">
        <v>3022</v>
      </c>
      <c r="B229" s="4" t="s">
        <v>2700</v>
      </c>
      <c r="C229" s="4" t="s">
        <v>1464</v>
      </c>
      <c r="D229" s="4" t="n">
        <v>27</v>
      </c>
      <c r="E229" s="4" t="n">
        <v>0</v>
      </c>
      <c r="F229" s="4" t="s">
        <v>53</v>
      </c>
      <c r="G229" s="4" t="n">
        <v>8</v>
      </c>
      <c r="H229" s="4"/>
      <c r="I229" s="4" t="n">
        <v>0</v>
      </c>
      <c r="J229" s="4"/>
      <c r="K229" s="4" t="n">
        <v>0</v>
      </c>
      <c r="L229" s="24" t="n">
        <f aca="false">D229*(1+0.75*(IFERROR(G229*INDEX(Calculator!$E$6:$E$23,MATCH(F229,Calculator!$A$6:$A$23,0)),0)+IFERROR(I229*INDEX(Calculator!$E$6:$E$23,MATCH(H229,Calculator!$A$6:$A$23,0)),0)+IFERROR(K229*INDEX(Calculator!$E$6:$E$23,MATCH(J229,Calculator!$A$6:$A$23,0)),0))*(1+Constants!$B$23*Calculator!$C$27)/1000)*(1+Calculator!$C$45+Calculator!$C$37)*Calculator!$C$39*(1-(1-MIN(Calculator!$C$44,MIN(1,E229+Calculator!$E$6/10*Constants!$B$16+Calculator!$C$36+Calculator!$C$40+Constants!$B$24*Calculator!$C$27)))*Constants!$B$6)</f>
        <v>25.357455</v>
      </c>
    </row>
    <row r="230" customFormat="false" ht="15" hidden="false" customHeight="false" outlineLevel="0" collapsed="false">
      <c r="A230" s="4" t="s">
        <v>3023</v>
      </c>
      <c r="B230" s="4" t="s">
        <v>3024</v>
      </c>
      <c r="C230" s="4" t="s">
        <v>3025</v>
      </c>
      <c r="D230" s="4" t="n">
        <v>20</v>
      </c>
      <c r="E230" s="4" t="n">
        <v>0.25</v>
      </c>
      <c r="F230" s="4" t="s">
        <v>55</v>
      </c>
      <c r="G230" s="4" t="n">
        <v>6.5</v>
      </c>
      <c r="H230" s="4" t="s">
        <v>53</v>
      </c>
      <c r="I230" s="4" t="n">
        <v>4.5</v>
      </c>
      <c r="J230" s="4"/>
      <c r="K230" s="4" t="n">
        <v>0</v>
      </c>
      <c r="L230" s="24" t="n">
        <f aca="false">D230*(1+0.75*(IFERROR(G230*INDEX(Calculator!$E$6:$E$23,MATCH(F230,Calculator!$A$6:$A$23,0)),0)+IFERROR(I230*INDEX(Calculator!$E$6:$E$23,MATCH(H230,Calculator!$A$6:$A$23,0)),0)+IFERROR(K230*INDEX(Calculator!$E$6:$E$23,MATCH(J230,Calculator!$A$6:$A$23,0)),0))*(1+Constants!$B$23*Calculator!$C$27)/1000)*(1+Calculator!$C$45+Calculator!$C$37)*Calculator!$C$39*(1-(1-MIN(Calculator!$C$44,MIN(1,E230+Calculator!$E$6/10*Constants!$B$16+Calculator!$C$36+Calculator!$C$40+Constants!$B$24*Calculator!$C$27)))*Constants!$B$6)</f>
        <v>32.391203538</v>
      </c>
    </row>
    <row r="231" customFormat="false" ht="15" hidden="false" customHeight="false" outlineLevel="0" collapsed="false">
      <c r="A231" s="4" t="s">
        <v>3026</v>
      </c>
      <c r="B231" s="4" t="s">
        <v>2700</v>
      </c>
      <c r="C231" s="4" t="s">
        <v>3027</v>
      </c>
      <c r="D231" s="4" t="n">
        <v>21</v>
      </c>
      <c r="E231" s="4" t="n">
        <v>0.15</v>
      </c>
      <c r="F231" s="4" t="s">
        <v>53</v>
      </c>
      <c r="G231" s="4" t="n">
        <v>5</v>
      </c>
      <c r="H231" s="4" t="s">
        <v>59</v>
      </c>
      <c r="I231" s="4" t="n">
        <v>4</v>
      </c>
      <c r="J231" s="4"/>
      <c r="K231" s="4" t="n">
        <v>0</v>
      </c>
      <c r="L231" s="24" t="n">
        <f aca="false">D231*(1+0.75*(IFERROR(G231*INDEX(Calculator!$E$6:$E$23,MATCH(F231,Calculator!$A$6:$A$23,0)),0)+IFERROR(I231*INDEX(Calculator!$E$6:$E$23,MATCH(H231,Calculator!$A$6:$A$23,0)),0)+IFERROR(K231*INDEX(Calculator!$E$6:$E$23,MATCH(J231,Calculator!$A$6:$A$23,0)),0))*(1+Constants!$B$23*Calculator!$C$27)/1000)*(1+Calculator!$C$45+Calculator!$C$37)*Calculator!$C$39*(1-(1-MIN(Calculator!$C$44,MIN(1,E231+Calculator!$E$6/10*Constants!$B$16+Calculator!$C$36+Calculator!$C$40+Constants!$B$24*Calculator!$C$27)))*Constants!$B$6)</f>
        <v>20.92734</v>
      </c>
    </row>
    <row r="232" customFormat="false" ht="15" hidden="false" customHeight="false" outlineLevel="0" collapsed="false">
      <c r="A232" s="4" t="s">
        <v>3028</v>
      </c>
      <c r="B232" s="4" t="s">
        <v>2700</v>
      </c>
      <c r="C232" s="4" t="s">
        <v>2947</v>
      </c>
      <c r="D232" s="4" t="n">
        <v>22</v>
      </c>
      <c r="E232" s="4" t="n">
        <v>0</v>
      </c>
      <c r="F232" s="4" t="s">
        <v>53</v>
      </c>
      <c r="G232" s="4" t="n">
        <v>7</v>
      </c>
      <c r="H232" s="4"/>
      <c r="I232" s="4" t="n">
        <v>0</v>
      </c>
      <c r="J232" s="4"/>
      <c r="K232" s="4" t="n">
        <v>0</v>
      </c>
      <c r="L232" s="24" t="n">
        <f aca="false">D232*(1+0.75*(IFERROR(G232*INDEX(Calculator!$E$6:$E$23,MATCH(F232,Calculator!$A$6:$A$23,0)),0)+IFERROR(I232*INDEX(Calculator!$E$6:$E$23,MATCH(H232,Calculator!$A$6:$A$23,0)),0)+IFERROR(K232*INDEX(Calculator!$E$6:$E$23,MATCH(J232,Calculator!$A$6:$A$23,0)),0))*(1+Constants!$B$23*Calculator!$C$27)/1000)*(1+Calculator!$C$45+Calculator!$C$37)*Calculator!$C$39*(1-(1-MIN(Calculator!$C$44,MIN(1,E232+Calculator!$E$6/10*Constants!$B$16+Calculator!$C$36+Calculator!$C$40+Constants!$B$24*Calculator!$C$27)))*Constants!$B$6)</f>
        <v>20.66163</v>
      </c>
    </row>
  </sheetData>
  <autoFilter ref="A1:L2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4"/>
    <col collapsed="false" customWidth="true" hidden="false" outlineLevel="0" max="4" min="4" style="0" width="11"/>
    <col collapsed="false" customWidth="true" hidden="false" outlineLevel="0" max="5" min="5" style="0" width="24"/>
    <col collapsed="false" customWidth="true" hidden="false" outlineLevel="0" max="6" min="6" style="0" width="40"/>
  </cols>
  <sheetData>
    <row r="1" customFormat="false" ht="23.85" hidden="false" customHeight="false" outlineLevel="0" collapsed="false">
      <c r="A1" s="21" t="s">
        <v>3029</v>
      </c>
      <c r="B1" s="21" t="s">
        <v>3030</v>
      </c>
      <c r="C1" s="21" t="s">
        <v>3031</v>
      </c>
      <c r="D1" s="21" t="s">
        <v>3032</v>
      </c>
      <c r="E1" s="21" t="s">
        <v>343</v>
      </c>
      <c r="F1" s="21" t="s">
        <v>3033</v>
      </c>
    </row>
    <row r="2" customFormat="false" ht="15" hidden="false" customHeight="false" outlineLevel="0" collapsed="false">
      <c r="A2" s="4" t="s">
        <v>3034</v>
      </c>
      <c r="B2" s="4" t="n">
        <v>25</v>
      </c>
      <c r="C2" s="4" t="n">
        <v>35</v>
      </c>
      <c r="D2" s="4" t="n">
        <v>2100</v>
      </c>
      <c r="E2" s="4" t="s">
        <v>3035</v>
      </c>
      <c r="F2" s="4" t="s">
        <v>3036</v>
      </c>
    </row>
    <row r="3" customFormat="false" ht="15" hidden="false" customHeight="false" outlineLevel="0" collapsed="false">
      <c r="A3" s="4" t="s">
        <v>3037</v>
      </c>
      <c r="B3" s="4" t="n">
        <v>30</v>
      </c>
      <c r="C3" s="4" t="n">
        <v>25</v>
      </c>
      <c r="D3" s="4" t="n">
        <v>2000</v>
      </c>
      <c r="E3" s="4"/>
      <c r="F3" s="4"/>
    </row>
    <row r="4" customFormat="false" ht="15" hidden="false" customHeight="false" outlineLevel="0" collapsed="false">
      <c r="A4" s="4" t="s">
        <v>3038</v>
      </c>
      <c r="B4" s="4" t="n">
        <v>30</v>
      </c>
      <c r="C4" s="4" t="n">
        <v>30</v>
      </c>
      <c r="D4" s="4" t="n">
        <v>2800</v>
      </c>
      <c r="E4" s="4" t="s">
        <v>3035</v>
      </c>
      <c r="F4" s="4" t="s">
        <v>3039</v>
      </c>
    </row>
    <row r="5" customFormat="false" ht="15" hidden="false" customHeight="false" outlineLevel="0" collapsed="false">
      <c r="A5" s="4" t="s">
        <v>3040</v>
      </c>
      <c r="B5" s="4" t="n">
        <v>15</v>
      </c>
      <c r="C5" s="4" t="n">
        <v>10</v>
      </c>
      <c r="D5" s="4" t="n">
        <v>1600</v>
      </c>
      <c r="E5" s="4"/>
      <c r="F5" s="4" t="s">
        <v>1647</v>
      </c>
    </row>
    <row r="6" customFormat="false" ht="15" hidden="false" customHeight="false" outlineLevel="0" collapsed="false">
      <c r="A6" s="4" t="s">
        <v>3041</v>
      </c>
      <c r="B6" s="4" t="n">
        <v>25</v>
      </c>
      <c r="C6" s="4" t="n">
        <v>20</v>
      </c>
      <c r="D6" s="4" t="n">
        <v>1200</v>
      </c>
      <c r="E6" s="4"/>
      <c r="F6" s="4"/>
    </row>
    <row r="7" customFormat="false" ht="15" hidden="false" customHeight="false" outlineLevel="0" collapsed="false">
      <c r="A7" s="4" t="s">
        <v>3042</v>
      </c>
      <c r="B7" s="4" t="n">
        <v>30</v>
      </c>
      <c r="C7" s="4" t="n">
        <v>30</v>
      </c>
      <c r="D7" s="4" t="n">
        <v>2600</v>
      </c>
      <c r="E7" s="4" t="s">
        <v>3043</v>
      </c>
      <c r="F7" s="4"/>
    </row>
    <row r="8" customFormat="false" ht="15" hidden="false" customHeight="false" outlineLevel="0" collapsed="false">
      <c r="A8" s="4" t="s">
        <v>3044</v>
      </c>
      <c r="B8" s="4" t="n">
        <v>30</v>
      </c>
      <c r="C8" s="4" t="n">
        <v>0</v>
      </c>
      <c r="D8" s="4" t="n">
        <v>1000</v>
      </c>
      <c r="E8" s="4"/>
      <c r="F8" s="4"/>
    </row>
    <row r="9" customFormat="false" ht="15" hidden="false" customHeight="false" outlineLevel="0" collapsed="false">
      <c r="A9" s="4" t="s">
        <v>3045</v>
      </c>
      <c r="B9" s="4" t="n">
        <v>20</v>
      </c>
      <c r="C9" s="4" t="n">
        <v>10</v>
      </c>
      <c r="D9" s="4" t="n">
        <v>1500</v>
      </c>
      <c r="E9" s="4" t="s">
        <v>3046</v>
      </c>
      <c r="F9" s="4" t="s">
        <v>1627</v>
      </c>
    </row>
    <row r="10" customFormat="false" ht="15" hidden="false" customHeight="false" outlineLevel="0" collapsed="false">
      <c r="A10" s="4" t="s">
        <v>3047</v>
      </c>
      <c r="B10" s="4" t="n">
        <v>25</v>
      </c>
      <c r="C10" s="4" t="n">
        <v>35</v>
      </c>
      <c r="D10" s="4" t="n">
        <v>2200</v>
      </c>
      <c r="E10" s="4" t="s">
        <v>3048</v>
      </c>
      <c r="F10" s="4" t="s">
        <v>3049</v>
      </c>
    </row>
    <row r="11" customFormat="false" ht="15" hidden="false" customHeight="false" outlineLevel="0" collapsed="false">
      <c r="A11" s="4" t="s">
        <v>3050</v>
      </c>
      <c r="B11" s="4" t="n">
        <v>10</v>
      </c>
      <c r="C11" s="4" t="n">
        <v>15</v>
      </c>
      <c r="D11" s="4" t="n">
        <v>2000</v>
      </c>
      <c r="E11" s="4" t="s">
        <v>3051</v>
      </c>
      <c r="F11" s="4" t="s">
        <v>3052</v>
      </c>
    </row>
    <row r="12" customFormat="false" ht="15" hidden="false" customHeight="false" outlineLevel="0" collapsed="false">
      <c r="A12" s="4" t="s">
        <v>3053</v>
      </c>
      <c r="B12" s="4" t="n">
        <v>30</v>
      </c>
      <c r="C12" s="4" t="n">
        <v>25</v>
      </c>
      <c r="D12" s="4" t="n">
        <v>2800</v>
      </c>
      <c r="E12" s="4" t="s">
        <v>3035</v>
      </c>
      <c r="F12" s="4" t="s">
        <v>3054</v>
      </c>
    </row>
    <row r="13" customFormat="false" ht="15" hidden="false" customHeight="false" outlineLevel="0" collapsed="false">
      <c r="A13" s="4" t="s">
        <v>3055</v>
      </c>
      <c r="B13" s="4" t="n">
        <v>20</v>
      </c>
      <c r="C13" s="4" t="n">
        <v>25</v>
      </c>
      <c r="D13" s="4" t="n">
        <v>1500</v>
      </c>
      <c r="E13" s="4" t="s">
        <v>3056</v>
      </c>
      <c r="F13" s="4"/>
    </row>
    <row r="14" customFormat="false" ht="15" hidden="false" customHeight="false" outlineLevel="0" collapsed="false">
      <c r="A14" s="4" t="s">
        <v>3057</v>
      </c>
      <c r="B14" s="4" t="n">
        <v>25</v>
      </c>
      <c r="C14" s="4" t="n">
        <v>30</v>
      </c>
      <c r="D14" s="4" t="n">
        <v>3000</v>
      </c>
      <c r="E14" s="4" t="s">
        <v>3058</v>
      </c>
      <c r="F14" s="4" t="s">
        <v>3059</v>
      </c>
    </row>
    <row r="15" customFormat="false" ht="15" hidden="false" customHeight="false" outlineLevel="0" collapsed="false">
      <c r="A15" s="4" t="s">
        <v>3060</v>
      </c>
      <c r="B15" s="4" t="n">
        <v>20</v>
      </c>
      <c r="C15" s="4" t="n">
        <v>30</v>
      </c>
      <c r="D15" s="4" t="n">
        <v>1200</v>
      </c>
      <c r="E15" s="4" t="s">
        <v>3061</v>
      </c>
      <c r="F15" s="4" t="s">
        <v>3062</v>
      </c>
    </row>
    <row r="16" customFormat="false" ht="15" hidden="false" customHeight="false" outlineLevel="0" collapsed="false">
      <c r="A16" s="4" t="s">
        <v>3063</v>
      </c>
      <c r="B16" s="4" t="n">
        <v>15</v>
      </c>
      <c r="C16" s="4" t="n">
        <v>10</v>
      </c>
      <c r="D16" s="4" t="n">
        <v>1200</v>
      </c>
      <c r="E16" s="4"/>
      <c r="F16" s="4" t="s">
        <v>1627</v>
      </c>
    </row>
    <row r="17" customFormat="false" ht="15" hidden="false" customHeight="false" outlineLevel="0" collapsed="false">
      <c r="A17" s="4" t="s">
        <v>3064</v>
      </c>
      <c r="B17" s="4" t="n">
        <v>10</v>
      </c>
      <c r="C17" s="4" t="n">
        <v>0</v>
      </c>
      <c r="D17" s="4" t="n">
        <v>1000</v>
      </c>
      <c r="E17" s="4" t="s">
        <v>3046</v>
      </c>
      <c r="F17" s="4" t="s">
        <v>3065</v>
      </c>
    </row>
    <row r="18" customFormat="false" ht="15" hidden="false" customHeight="false" outlineLevel="0" collapsed="false">
      <c r="A18" s="4" t="s">
        <v>3066</v>
      </c>
      <c r="B18" s="4" t="n">
        <v>30</v>
      </c>
      <c r="C18" s="4" t="n">
        <v>30</v>
      </c>
      <c r="D18" s="4" t="n">
        <v>2600</v>
      </c>
      <c r="E18" s="4" t="s">
        <v>3035</v>
      </c>
      <c r="F18" s="4" t="s">
        <v>3067</v>
      </c>
    </row>
    <row r="19" customFormat="false" ht="15" hidden="false" customHeight="false" outlineLevel="0" collapsed="false">
      <c r="A19" s="4" t="s">
        <v>3068</v>
      </c>
      <c r="B19" s="4" t="n">
        <v>25</v>
      </c>
      <c r="C19" s="4" t="n">
        <v>25</v>
      </c>
      <c r="D19" s="4" t="n">
        <v>2500</v>
      </c>
      <c r="E19" s="4" t="s">
        <v>3069</v>
      </c>
      <c r="F19" s="4" t="s">
        <v>3070</v>
      </c>
    </row>
    <row r="20" customFormat="false" ht="15" hidden="false" customHeight="false" outlineLevel="0" collapsed="false">
      <c r="A20" s="4" t="s">
        <v>3071</v>
      </c>
      <c r="B20" s="4" t="n">
        <v>10</v>
      </c>
      <c r="C20" s="4" t="n">
        <v>15</v>
      </c>
      <c r="D20" s="4" t="n">
        <v>1000</v>
      </c>
      <c r="E20" s="4"/>
      <c r="F20" s="4"/>
    </row>
    <row r="21" customFormat="false" ht="15" hidden="false" customHeight="false" outlineLevel="0" collapsed="false">
      <c r="A21" s="4" t="s">
        <v>3072</v>
      </c>
      <c r="B21" s="4" t="n">
        <v>30</v>
      </c>
      <c r="C21" s="4" t="n">
        <v>20</v>
      </c>
      <c r="D21" s="4" t="n">
        <v>1000</v>
      </c>
      <c r="E21" s="4" t="s">
        <v>3061</v>
      </c>
      <c r="F21" s="4" t="s">
        <v>1647</v>
      </c>
    </row>
    <row r="22" customFormat="false" ht="15" hidden="false" customHeight="false" outlineLevel="0" collapsed="false">
      <c r="A22" s="4" t="s">
        <v>3073</v>
      </c>
      <c r="B22" s="4" t="n">
        <v>20</v>
      </c>
      <c r="C22" s="4" t="n">
        <v>0</v>
      </c>
      <c r="D22" s="4" t="n">
        <v>1200</v>
      </c>
      <c r="E22" s="4" t="s">
        <v>3046</v>
      </c>
      <c r="F22" s="4"/>
    </row>
    <row r="23" customFormat="false" ht="15" hidden="false" customHeight="false" outlineLevel="0" collapsed="false">
      <c r="A23" s="4" t="s">
        <v>3074</v>
      </c>
      <c r="B23" s="4" t="n">
        <v>10</v>
      </c>
      <c r="C23" s="4" t="n">
        <v>5</v>
      </c>
      <c r="D23" s="4" t="n">
        <v>1000</v>
      </c>
      <c r="E23" s="4"/>
      <c r="F23" s="4" t="s">
        <v>3075</v>
      </c>
    </row>
    <row r="24" customFormat="false" ht="15" hidden="false" customHeight="false" outlineLevel="0" collapsed="false">
      <c r="A24" s="4" t="s">
        <v>3076</v>
      </c>
      <c r="B24" s="4" t="n">
        <v>25</v>
      </c>
      <c r="C24" s="4" t="n">
        <v>20</v>
      </c>
      <c r="D24" s="4" t="n">
        <v>2000</v>
      </c>
      <c r="E24" s="4" t="s">
        <v>3061</v>
      </c>
      <c r="F24" s="4" t="s">
        <v>3070</v>
      </c>
    </row>
    <row r="25" customFormat="false" ht="15" hidden="false" customHeight="false" outlineLevel="0" collapsed="false">
      <c r="A25" s="4" t="s">
        <v>3077</v>
      </c>
      <c r="B25" s="4" t="n">
        <v>10</v>
      </c>
      <c r="C25" s="4" t="n">
        <v>0</v>
      </c>
      <c r="D25" s="4" t="n">
        <v>1000</v>
      </c>
      <c r="E25" s="4" t="s">
        <v>3046</v>
      </c>
      <c r="F25" s="4" t="s">
        <v>3078</v>
      </c>
    </row>
    <row r="26" customFormat="false" ht="15" hidden="false" customHeight="false" outlineLevel="0" collapsed="false">
      <c r="A26" s="4" t="s">
        <v>3079</v>
      </c>
      <c r="B26" s="4" t="n">
        <v>25</v>
      </c>
      <c r="C26" s="4" t="n">
        <v>25</v>
      </c>
      <c r="D26" s="4" t="n">
        <v>2000</v>
      </c>
      <c r="E26" s="4" t="s">
        <v>3035</v>
      </c>
      <c r="F26" s="4" t="s">
        <v>3080</v>
      </c>
    </row>
    <row r="27" customFormat="false" ht="15" hidden="false" customHeight="false" outlineLevel="0" collapsed="false">
      <c r="A27" s="4" t="s">
        <v>3081</v>
      </c>
      <c r="B27" s="4" t="n">
        <v>25</v>
      </c>
      <c r="C27" s="4" t="n">
        <v>25</v>
      </c>
      <c r="D27" s="4" t="n">
        <v>2500</v>
      </c>
      <c r="E27" s="4" t="s">
        <v>3035</v>
      </c>
      <c r="F27" s="4" t="s">
        <v>3082</v>
      </c>
    </row>
    <row r="28" customFormat="false" ht="15" hidden="false" customHeight="false" outlineLevel="0" collapsed="false">
      <c r="A28" s="4" t="s">
        <v>3083</v>
      </c>
      <c r="B28" s="4" t="n">
        <v>35</v>
      </c>
      <c r="C28" s="4" t="n">
        <v>35</v>
      </c>
      <c r="D28" s="4" t="n">
        <v>4000</v>
      </c>
      <c r="E28" s="4" t="s">
        <v>3035</v>
      </c>
      <c r="F28" s="4" t="s">
        <v>3084</v>
      </c>
    </row>
    <row r="29" customFormat="false" ht="15" hidden="false" customHeight="false" outlineLevel="0" collapsed="false">
      <c r="A29" s="4" t="s">
        <v>3085</v>
      </c>
      <c r="B29" s="4" t="n">
        <v>30</v>
      </c>
      <c r="C29" s="4" t="n">
        <v>40</v>
      </c>
      <c r="D29" s="4" t="n">
        <v>3500</v>
      </c>
      <c r="E29" s="4" t="s">
        <v>3035</v>
      </c>
      <c r="F29" s="4" t="s">
        <v>3086</v>
      </c>
    </row>
    <row r="30" customFormat="false" ht="15" hidden="false" customHeight="false" outlineLevel="0" collapsed="false">
      <c r="A30" s="4" t="s">
        <v>3087</v>
      </c>
      <c r="B30" s="4" t="n">
        <v>25</v>
      </c>
      <c r="C30" s="4" t="n">
        <v>25</v>
      </c>
      <c r="D30" s="4" t="n">
        <v>2000</v>
      </c>
      <c r="E30" s="4" t="s">
        <v>3035</v>
      </c>
      <c r="F30" s="4" t="s">
        <v>3088</v>
      </c>
    </row>
    <row r="31" customFormat="false" ht="15" hidden="false" customHeight="false" outlineLevel="0" collapsed="false">
      <c r="A31" s="4" t="s">
        <v>3089</v>
      </c>
      <c r="B31" s="4" t="n">
        <v>25</v>
      </c>
      <c r="C31" s="4" t="n">
        <v>35</v>
      </c>
      <c r="D31" s="4" t="n">
        <v>2500</v>
      </c>
      <c r="E31" s="4" t="s">
        <v>3090</v>
      </c>
      <c r="F31" s="4" t="s">
        <v>3091</v>
      </c>
    </row>
    <row r="32" customFormat="false" ht="15" hidden="false" customHeight="false" outlineLevel="0" collapsed="false">
      <c r="A32" s="4" t="s">
        <v>3092</v>
      </c>
      <c r="B32" s="4" t="n">
        <v>10</v>
      </c>
      <c r="C32" s="4" t="n">
        <v>5</v>
      </c>
      <c r="D32" s="4" t="n">
        <v>1000</v>
      </c>
      <c r="E32" s="4" t="s">
        <v>3046</v>
      </c>
      <c r="F32" s="4" t="s">
        <v>3093</v>
      </c>
    </row>
    <row r="33" customFormat="false" ht="15" hidden="false" customHeight="false" outlineLevel="0" collapsed="false">
      <c r="A33" s="4" t="s">
        <v>3094</v>
      </c>
      <c r="B33" s="4" t="n">
        <v>20</v>
      </c>
      <c r="C33" s="4" t="n">
        <v>20</v>
      </c>
      <c r="D33" s="4" t="n">
        <v>2000</v>
      </c>
      <c r="E33" s="4" t="s">
        <v>3061</v>
      </c>
      <c r="F33" s="4" t="s">
        <v>3095</v>
      </c>
    </row>
    <row r="34" customFormat="false" ht="15" hidden="false" customHeight="false" outlineLevel="0" collapsed="false">
      <c r="A34" s="4" t="s">
        <v>3096</v>
      </c>
      <c r="B34" s="4" t="n">
        <v>25</v>
      </c>
      <c r="C34" s="4" t="n">
        <v>25</v>
      </c>
      <c r="D34" s="4" t="n">
        <v>2000</v>
      </c>
      <c r="E34" s="4" t="s">
        <v>3035</v>
      </c>
      <c r="F34" s="4" t="s">
        <v>3097</v>
      </c>
    </row>
    <row r="35" customFormat="false" ht="15" hidden="false" customHeight="false" outlineLevel="0" collapsed="false">
      <c r="A35" s="4" t="s">
        <v>3098</v>
      </c>
      <c r="B35" s="4" t="n">
        <v>25</v>
      </c>
      <c r="C35" s="4" t="n">
        <v>25</v>
      </c>
      <c r="D35" s="4" t="n">
        <v>2000</v>
      </c>
      <c r="E35" s="4"/>
      <c r="F35" s="4" t="s">
        <v>3080</v>
      </c>
    </row>
    <row r="36" customFormat="false" ht="15" hidden="false" customHeight="false" outlineLevel="0" collapsed="false">
      <c r="A36" s="4" t="s">
        <v>3099</v>
      </c>
      <c r="B36" s="4" t="n">
        <v>15</v>
      </c>
      <c r="C36" s="4" t="n">
        <v>15</v>
      </c>
      <c r="D36" s="4" t="n">
        <v>1000</v>
      </c>
      <c r="E36" s="4"/>
      <c r="F36" s="4"/>
    </row>
    <row r="37" customFormat="false" ht="15" hidden="false" customHeight="false" outlineLevel="0" collapsed="false">
      <c r="A37" s="4" t="s">
        <v>3100</v>
      </c>
      <c r="B37" s="4" t="n">
        <v>25</v>
      </c>
      <c r="C37" s="4" t="n">
        <v>25</v>
      </c>
      <c r="D37" s="4" t="n">
        <v>1000</v>
      </c>
      <c r="E37" s="4" t="s">
        <v>3035</v>
      </c>
      <c r="F37" s="4" t="s">
        <v>1647</v>
      </c>
    </row>
    <row r="38" customFormat="false" ht="15" hidden="false" customHeight="false" outlineLevel="0" collapsed="false">
      <c r="A38" s="4" t="s">
        <v>3101</v>
      </c>
      <c r="B38" s="4" t="n">
        <v>25</v>
      </c>
      <c r="C38" s="4" t="n">
        <v>25</v>
      </c>
      <c r="D38" s="4" t="n">
        <v>1000</v>
      </c>
      <c r="E38" s="4" t="s">
        <v>3061</v>
      </c>
      <c r="F38" s="4" t="s">
        <v>1647</v>
      </c>
    </row>
    <row r="39" customFormat="false" ht="15" hidden="false" customHeight="false" outlineLevel="0" collapsed="false">
      <c r="A39" s="4" t="s">
        <v>3102</v>
      </c>
      <c r="B39" s="4" t="n">
        <v>30</v>
      </c>
      <c r="C39" s="4" t="n">
        <v>20</v>
      </c>
      <c r="D39" s="4" t="n">
        <v>1200</v>
      </c>
      <c r="E39" s="4" t="s">
        <v>3103</v>
      </c>
      <c r="F39" s="4" t="s">
        <v>3104</v>
      </c>
    </row>
    <row r="40" customFormat="false" ht="15" hidden="false" customHeight="false" outlineLevel="0" collapsed="false">
      <c r="A40" s="4" t="s">
        <v>3105</v>
      </c>
      <c r="B40" s="4" t="n">
        <v>25</v>
      </c>
      <c r="C40" s="4" t="n">
        <v>30</v>
      </c>
      <c r="D40" s="4" t="n">
        <v>2600</v>
      </c>
      <c r="E40" s="4" t="s">
        <v>3106</v>
      </c>
      <c r="F40" s="4" t="s">
        <v>3107</v>
      </c>
    </row>
    <row r="41" customFormat="false" ht="15" hidden="false" customHeight="false" outlineLevel="0" collapsed="false">
      <c r="A41" s="4" t="s">
        <v>3108</v>
      </c>
      <c r="B41" s="4" t="n">
        <v>30</v>
      </c>
      <c r="C41" s="4" t="n">
        <v>35</v>
      </c>
      <c r="D41" s="4" t="n">
        <v>3000</v>
      </c>
      <c r="E41" s="4" t="s">
        <v>3035</v>
      </c>
      <c r="F41" s="4" t="s">
        <v>3109</v>
      </c>
    </row>
    <row r="42" customFormat="false" ht="15" hidden="false" customHeight="false" outlineLevel="0" collapsed="false">
      <c r="A42" s="4" t="s">
        <v>3110</v>
      </c>
      <c r="B42" s="4" t="n">
        <v>25</v>
      </c>
      <c r="C42" s="4" t="n">
        <v>25</v>
      </c>
      <c r="D42" s="4" t="n">
        <v>1000</v>
      </c>
      <c r="E42" s="4" t="s">
        <v>3061</v>
      </c>
      <c r="F42" s="4" t="s">
        <v>3111</v>
      </c>
    </row>
    <row r="43" customFormat="false" ht="15" hidden="false" customHeight="false" outlineLevel="0" collapsed="false">
      <c r="A43" s="4" t="s">
        <v>3112</v>
      </c>
      <c r="B43" s="4" t="n">
        <v>22</v>
      </c>
      <c r="C43" s="4" t="n">
        <v>22</v>
      </c>
      <c r="D43" s="4" t="n">
        <v>2000</v>
      </c>
      <c r="E43" s="4" t="s">
        <v>3051</v>
      </c>
      <c r="F43" s="4"/>
    </row>
    <row r="44" customFormat="false" ht="15" hidden="false" customHeight="false" outlineLevel="0" collapsed="false">
      <c r="A44" s="4" t="s">
        <v>3113</v>
      </c>
      <c r="B44" s="4" t="n">
        <v>25</v>
      </c>
      <c r="C44" s="4" t="n">
        <v>25</v>
      </c>
      <c r="D44" s="4" t="n">
        <v>3000</v>
      </c>
      <c r="E44" s="4" t="s">
        <v>3114</v>
      </c>
      <c r="F44" s="4" t="s">
        <v>1678</v>
      </c>
    </row>
    <row r="45" customFormat="false" ht="15" hidden="false" customHeight="false" outlineLevel="0" collapsed="false">
      <c r="A45" s="4" t="s">
        <v>3115</v>
      </c>
      <c r="B45" s="4" t="n">
        <v>30</v>
      </c>
      <c r="C45" s="4" t="n">
        <v>35</v>
      </c>
      <c r="D45" s="4" t="n">
        <v>3200</v>
      </c>
      <c r="E45" s="4" t="s">
        <v>3035</v>
      </c>
      <c r="F45" s="4" t="s">
        <v>3116</v>
      </c>
    </row>
    <row r="46" customFormat="false" ht="15" hidden="false" customHeight="false" outlineLevel="0" collapsed="false">
      <c r="A46" s="4" t="s">
        <v>3117</v>
      </c>
      <c r="B46" s="4" t="n">
        <v>30</v>
      </c>
      <c r="C46" s="4" t="n">
        <v>30</v>
      </c>
      <c r="D46" s="4" t="n">
        <v>3000</v>
      </c>
      <c r="E46" s="4" t="s">
        <v>3118</v>
      </c>
      <c r="F46" s="4" t="s">
        <v>3119</v>
      </c>
    </row>
    <row r="47" customFormat="false" ht="15" hidden="false" customHeight="false" outlineLevel="0" collapsed="false">
      <c r="A47" s="4" t="s">
        <v>3120</v>
      </c>
      <c r="B47" s="4" t="n">
        <v>25</v>
      </c>
      <c r="C47" s="4" t="n">
        <v>35</v>
      </c>
      <c r="D47" s="4" t="n">
        <v>2500</v>
      </c>
      <c r="E47" s="4" t="s">
        <v>3090</v>
      </c>
      <c r="F47" s="4" t="s">
        <v>3121</v>
      </c>
    </row>
    <row r="48" customFormat="false" ht="15" hidden="false" customHeight="false" outlineLevel="0" collapsed="false">
      <c r="A48" s="4" t="s">
        <v>3122</v>
      </c>
      <c r="B48" s="4" t="n">
        <v>15</v>
      </c>
      <c r="C48" s="4" t="n">
        <v>15</v>
      </c>
      <c r="D48" s="4" t="n">
        <v>1500</v>
      </c>
      <c r="E48" s="4" t="s">
        <v>3123</v>
      </c>
      <c r="F48" s="4"/>
    </row>
    <row r="49" customFormat="false" ht="15" hidden="false" customHeight="false" outlineLevel="0" collapsed="false">
      <c r="A49" s="4" t="s">
        <v>3124</v>
      </c>
      <c r="B49" s="4" t="n">
        <v>30</v>
      </c>
      <c r="C49" s="4" t="n">
        <v>30</v>
      </c>
      <c r="D49" s="4" t="n">
        <v>2800</v>
      </c>
      <c r="E49" s="4" t="s">
        <v>3035</v>
      </c>
      <c r="F49" s="4" t="s">
        <v>3125</v>
      </c>
    </row>
    <row r="50" customFormat="false" ht="15" hidden="false" customHeight="false" outlineLevel="0" collapsed="false">
      <c r="A50" s="4" t="s">
        <v>3126</v>
      </c>
      <c r="B50" s="4" t="n">
        <v>30</v>
      </c>
      <c r="C50" s="4" t="n">
        <v>30</v>
      </c>
      <c r="D50" s="4" t="n">
        <v>3000</v>
      </c>
      <c r="E50" s="4" t="s">
        <v>3127</v>
      </c>
      <c r="F50" s="4" t="s">
        <v>3128</v>
      </c>
    </row>
    <row r="51" customFormat="false" ht="15" hidden="false" customHeight="false" outlineLevel="0" collapsed="false">
      <c r="A51" s="4" t="s">
        <v>3129</v>
      </c>
      <c r="B51" s="4" t="n">
        <v>30</v>
      </c>
      <c r="C51" s="4" t="n">
        <v>20</v>
      </c>
      <c r="D51" s="4" t="n">
        <v>1200</v>
      </c>
      <c r="E51" s="4" t="s">
        <v>3130</v>
      </c>
      <c r="F51" s="4" t="s">
        <v>707</v>
      </c>
    </row>
    <row r="52" customFormat="false" ht="15" hidden="false" customHeight="false" outlineLevel="0" collapsed="false">
      <c r="A52" s="4" t="s">
        <v>3131</v>
      </c>
      <c r="B52" s="4" t="n">
        <v>0</v>
      </c>
      <c r="C52" s="4" t="n">
        <v>0</v>
      </c>
      <c r="D52" s="4" t="n">
        <v>1200</v>
      </c>
      <c r="E52" s="4"/>
      <c r="F52" s="4" t="s">
        <v>3132</v>
      </c>
    </row>
    <row r="53" customFormat="false" ht="15" hidden="false" customHeight="false" outlineLevel="0" collapsed="false">
      <c r="A53" s="4" t="s">
        <v>3133</v>
      </c>
      <c r="B53" s="4" t="n">
        <v>10</v>
      </c>
      <c r="C53" s="4" t="n">
        <v>10</v>
      </c>
      <c r="D53" s="4" t="n">
        <v>1800</v>
      </c>
      <c r="E53" s="4" t="s">
        <v>3046</v>
      </c>
      <c r="F53" s="4" t="s">
        <v>3134</v>
      </c>
    </row>
    <row r="54" customFormat="false" ht="15" hidden="false" customHeight="false" outlineLevel="0" collapsed="false">
      <c r="A54" s="4" t="s">
        <v>3135</v>
      </c>
      <c r="B54" s="4" t="n">
        <v>30</v>
      </c>
      <c r="C54" s="4" t="n">
        <v>30</v>
      </c>
      <c r="D54" s="4" t="n">
        <v>3000</v>
      </c>
      <c r="E54" s="4" t="s">
        <v>3035</v>
      </c>
      <c r="F54" s="4" t="s">
        <v>3136</v>
      </c>
    </row>
    <row r="55" customFormat="false" ht="15" hidden="false" customHeight="false" outlineLevel="0" collapsed="false">
      <c r="A55" s="4" t="s">
        <v>3137</v>
      </c>
      <c r="B55" s="4" t="n">
        <v>10</v>
      </c>
      <c r="C55" s="4" t="n">
        <v>25</v>
      </c>
      <c r="D55" s="4" t="n">
        <v>1500</v>
      </c>
      <c r="E55" s="4" t="s">
        <v>3138</v>
      </c>
      <c r="F55" s="4" t="s">
        <v>3139</v>
      </c>
    </row>
    <row r="56" customFormat="false" ht="15" hidden="false" customHeight="false" outlineLevel="0" collapsed="false">
      <c r="A56" s="4" t="s">
        <v>3140</v>
      </c>
      <c r="B56" s="4" t="n">
        <v>18</v>
      </c>
      <c r="C56" s="4" t="n">
        <v>8</v>
      </c>
      <c r="D56" s="4" t="n">
        <v>1200</v>
      </c>
      <c r="E56" s="4" t="s">
        <v>3046</v>
      </c>
      <c r="F56" s="4" t="s">
        <v>3141</v>
      </c>
    </row>
    <row r="57" customFormat="false" ht="15" hidden="false" customHeight="false" outlineLevel="0" collapsed="false">
      <c r="A57" s="4" t="s">
        <v>3142</v>
      </c>
      <c r="B57" s="4" t="n">
        <v>5</v>
      </c>
      <c r="C57" s="4" t="n">
        <v>10</v>
      </c>
      <c r="D57" s="4" t="n">
        <v>1000</v>
      </c>
      <c r="E57" s="4" t="s">
        <v>3143</v>
      </c>
      <c r="F57" s="4" t="s">
        <v>1647</v>
      </c>
    </row>
    <row r="58" customFormat="false" ht="15" hidden="false" customHeight="false" outlineLevel="0" collapsed="false">
      <c r="A58" s="4" t="s">
        <v>3144</v>
      </c>
      <c r="B58" s="4" t="n">
        <v>10</v>
      </c>
      <c r="C58" s="4" t="n">
        <v>15</v>
      </c>
      <c r="D58" s="4" t="n">
        <v>1000</v>
      </c>
      <c r="E58" s="4" t="s">
        <v>3145</v>
      </c>
      <c r="F58" s="4" t="s">
        <v>1647</v>
      </c>
    </row>
    <row r="59" customFormat="false" ht="15" hidden="false" customHeight="false" outlineLevel="0" collapsed="false">
      <c r="A59" s="4" t="s">
        <v>3146</v>
      </c>
      <c r="B59" s="4" t="n">
        <v>25</v>
      </c>
      <c r="C59" s="4" t="n">
        <v>25</v>
      </c>
      <c r="D59" s="4" t="n">
        <v>2600</v>
      </c>
      <c r="E59" s="4" t="s">
        <v>3035</v>
      </c>
      <c r="F59" s="4" t="s">
        <v>3147</v>
      </c>
    </row>
    <row r="60" customFormat="false" ht="15" hidden="false" customHeight="false" outlineLevel="0" collapsed="false">
      <c r="A60" s="4" t="s">
        <v>3148</v>
      </c>
      <c r="B60" s="4" t="n">
        <v>25</v>
      </c>
      <c r="C60" s="4" t="n">
        <v>30</v>
      </c>
      <c r="D60" s="4" t="n">
        <v>2400</v>
      </c>
      <c r="E60" s="4" t="s">
        <v>3149</v>
      </c>
      <c r="F60" s="4" t="s">
        <v>1643</v>
      </c>
    </row>
    <row r="61" customFormat="false" ht="15" hidden="false" customHeight="false" outlineLevel="0" collapsed="false">
      <c r="A61" s="4" t="s">
        <v>3150</v>
      </c>
      <c r="B61" s="4" t="n">
        <v>30</v>
      </c>
      <c r="C61" s="4" t="n">
        <v>30</v>
      </c>
      <c r="D61" s="4" t="n">
        <v>3000</v>
      </c>
      <c r="E61" s="4" t="s">
        <v>3035</v>
      </c>
      <c r="F61" s="4" t="s">
        <v>3062</v>
      </c>
    </row>
    <row r="62" customFormat="false" ht="15" hidden="false" customHeight="false" outlineLevel="0" collapsed="false">
      <c r="A62" s="4" t="s">
        <v>3151</v>
      </c>
      <c r="B62" s="4" t="n">
        <v>25</v>
      </c>
      <c r="C62" s="4" t="n">
        <v>30</v>
      </c>
      <c r="D62" s="4" t="n">
        <v>2600</v>
      </c>
      <c r="E62" s="4" t="s">
        <v>3152</v>
      </c>
      <c r="F62" s="4" t="s">
        <v>3153</v>
      </c>
    </row>
    <row r="63" customFormat="false" ht="15" hidden="false" customHeight="false" outlineLevel="0" collapsed="false">
      <c r="A63" s="4" t="s">
        <v>3154</v>
      </c>
      <c r="B63" s="4" t="n">
        <v>8</v>
      </c>
      <c r="C63" s="4" t="n">
        <v>10</v>
      </c>
      <c r="D63" s="4" t="n">
        <v>1000</v>
      </c>
      <c r="E63" s="4"/>
      <c r="F63" s="4" t="s">
        <v>3155</v>
      </c>
    </row>
    <row r="64" customFormat="false" ht="15" hidden="false" customHeight="false" outlineLevel="0" collapsed="false">
      <c r="A64" s="4" t="s">
        <v>3156</v>
      </c>
      <c r="B64" s="4" t="n">
        <v>25</v>
      </c>
      <c r="C64" s="4" t="n">
        <v>20</v>
      </c>
      <c r="D64" s="4" t="n">
        <v>2000</v>
      </c>
      <c r="E64" s="4" t="s">
        <v>3056</v>
      </c>
      <c r="F64" s="4"/>
    </row>
    <row r="65" customFormat="false" ht="15" hidden="false" customHeight="false" outlineLevel="0" collapsed="false">
      <c r="A65" s="4" t="s">
        <v>3157</v>
      </c>
      <c r="B65" s="4" t="n">
        <v>10</v>
      </c>
      <c r="C65" s="4" t="n">
        <v>5</v>
      </c>
      <c r="D65" s="4" t="n">
        <v>1500</v>
      </c>
      <c r="E65" s="4" t="s">
        <v>3158</v>
      </c>
      <c r="F65" s="4" t="s">
        <v>1647</v>
      </c>
    </row>
    <row r="66" customFormat="false" ht="15" hidden="false" customHeight="false" outlineLevel="0" collapsed="false">
      <c r="A66" s="4" t="s">
        <v>3159</v>
      </c>
      <c r="B66" s="4" t="n">
        <v>30</v>
      </c>
      <c r="C66" s="4" t="n">
        <v>30</v>
      </c>
      <c r="D66" s="4" t="n">
        <v>3500</v>
      </c>
      <c r="E66" s="4" t="s">
        <v>3035</v>
      </c>
      <c r="F66" s="4" t="s">
        <v>3160</v>
      </c>
    </row>
    <row r="67" customFormat="false" ht="15" hidden="false" customHeight="false" outlineLevel="0" collapsed="false">
      <c r="A67" s="4" t="s">
        <v>3161</v>
      </c>
      <c r="B67" s="4" t="n">
        <v>12</v>
      </c>
      <c r="C67" s="4" t="n">
        <v>12</v>
      </c>
      <c r="D67" s="4" t="n">
        <v>1200</v>
      </c>
      <c r="E67" s="4"/>
      <c r="F67" s="4" t="s">
        <v>490</v>
      </c>
    </row>
    <row r="68" customFormat="false" ht="15" hidden="false" customHeight="false" outlineLevel="0" collapsed="false">
      <c r="A68" s="4" t="s">
        <v>3162</v>
      </c>
      <c r="B68" s="4" t="n">
        <v>5</v>
      </c>
      <c r="C68" s="4" t="n">
        <v>0</v>
      </c>
      <c r="D68" s="4" t="n">
        <v>1000</v>
      </c>
      <c r="E68" s="4" t="s">
        <v>3163</v>
      </c>
      <c r="F68" s="4" t="s">
        <v>1647</v>
      </c>
    </row>
    <row r="69" customFormat="false" ht="15" hidden="false" customHeight="false" outlineLevel="0" collapsed="false">
      <c r="A69" s="4" t="s">
        <v>3164</v>
      </c>
      <c r="B69" s="4" t="n">
        <v>25</v>
      </c>
      <c r="C69" s="4" t="n">
        <v>30</v>
      </c>
      <c r="D69" s="4" t="n">
        <v>2600</v>
      </c>
      <c r="E69" s="4" t="s">
        <v>3165</v>
      </c>
      <c r="F69" s="4" t="s">
        <v>3166</v>
      </c>
    </row>
    <row r="70" customFormat="false" ht="15" hidden="false" customHeight="false" outlineLevel="0" collapsed="false">
      <c r="A70" s="4" t="s">
        <v>3167</v>
      </c>
      <c r="B70" s="4" t="n">
        <v>20</v>
      </c>
      <c r="C70" s="4" t="n">
        <v>30</v>
      </c>
      <c r="D70" s="4" t="n">
        <v>2200</v>
      </c>
      <c r="E70" s="4"/>
      <c r="F70" s="4" t="s">
        <v>3168</v>
      </c>
    </row>
    <row r="71" customFormat="false" ht="15" hidden="false" customHeight="false" outlineLevel="0" collapsed="false">
      <c r="A71" s="4" t="s">
        <v>3169</v>
      </c>
      <c r="B71" s="4" t="n">
        <v>10</v>
      </c>
      <c r="C71" s="4" t="n">
        <v>5</v>
      </c>
      <c r="D71" s="4" t="n">
        <v>1500</v>
      </c>
      <c r="E71" s="4" t="s">
        <v>3046</v>
      </c>
      <c r="F71" s="4" t="s">
        <v>526</v>
      </c>
    </row>
    <row r="72" customFormat="false" ht="15" hidden="false" customHeight="false" outlineLevel="0" collapsed="false">
      <c r="A72" s="4" t="s">
        <v>3170</v>
      </c>
      <c r="B72" s="4" t="n">
        <v>30</v>
      </c>
      <c r="C72" s="4" t="n">
        <v>30</v>
      </c>
      <c r="D72" s="4" t="n">
        <v>2800</v>
      </c>
      <c r="E72" s="4" t="s">
        <v>3035</v>
      </c>
      <c r="F72" s="4" t="s">
        <v>3171</v>
      </c>
    </row>
    <row r="73" customFormat="false" ht="15" hidden="false" customHeight="false" outlineLevel="0" collapsed="false">
      <c r="A73" s="4" t="s">
        <v>3172</v>
      </c>
      <c r="B73" s="4" t="n">
        <v>25</v>
      </c>
      <c r="C73" s="4" t="n">
        <v>30</v>
      </c>
      <c r="D73" s="4" t="n">
        <v>2600</v>
      </c>
      <c r="E73" s="4" t="s">
        <v>3173</v>
      </c>
      <c r="F73" s="4" t="s">
        <v>3174</v>
      </c>
    </row>
    <row r="74" customFormat="false" ht="15" hidden="false" customHeight="false" outlineLevel="0" collapsed="false">
      <c r="A74" s="4" t="s">
        <v>3175</v>
      </c>
      <c r="B74" s="4" t="n">
        <v>25</v>
      </c>
      <c r="C74" s="4" t="n">
        <v>40</v>
      </c>
      <c r="D74" s="4" t="n">
        <v>3300</v>
      </c>
      <c r="E74" s="4" t="s">
        <v>3176</v>
      </c>
      <c r="F74" s="4" t="s">
        <v>3177</v>
      </c>
    </row>
    <row r="75" customFormat="false" ht="15" hidden="false" customHeight="false" outlineLevel="0" collapsed="false">
      <c r="A75" s="4" t="s">
        <v>3178</v>
      </c>
      <c r="B75" s="4" t="n">
        <v>25</v>
      </c>
      <c r="C75" s="4" t="n">
        <v>25</v>
      </c>
      <c r="D75" s="4" t="n">
        <v>3000</v>
      </c>
      <c r="E75" s="4" t="s">
        <v>3179</v>
      </c>
      <c r="F75" s="4" t="s">
        <v>3180</v>
      </c>
    </row>
    <row r="76" customFormat="false" ht="15" hidden="false" customHeight="false" outlineLevel="0" collapsed="false">
      <c r="A76" s="4" t="s">
        <v>3181</v>
      </c>
      <c r="B76" s="4" t="n">
        <v>25</v>
      </c>
      <c r="C76" s="4" t="n">
        <v>35</v>
      </c>
      <c r="D76" s="4" t="n">
        <v>2500</v>
      </c>
      <c r="E76" s="4" t="s">
        <v>3090</v>
      </c>
      <c r="F76" s="4" t="s">
        <v>3121</v>
      </c>
    </row>
    <row r="77" customFormat="false" ht="15" hidden="false" customHeight="false" outlineLevel="0" collapsed="false">
      <c r="A77" s="4" t="s">
        <v>3182</v>
      </c>
      <c r="B77" s="4" t="n">
        <v>25</v>
      </c>
      <c r="C77" s="4" t="n">
        <v>20</v>
      </c>
      <c r="D77" s="4" t="n">
        <v>2500</v>
      </c>
      <c r="E77" s="4" t="s">
        <v>3056</v>
      </c>
      <c r="F77" s="4"/>
    </row>
    <row r="78" customFormat="false" ht="15" hidden="false" customHeight="false" outlineLevel="0" collapsed="false">
      <c r="A78" s="4" t="s">
        <v>3183</v>
      </c>
      <c r="B78" s="4" t="n">
        <v>30</v>
      </c>
      <c r="C78" s="4" t="n">
        <v>0</v>
      </c>
      <c r="D78" s="4" t="n">
        <v>3000</v>
      </c>
      <c r="E78" s="4"/>
      <c r="F78" s="4"/>
    </row>
    <row r="79" customFormat="false" ht="15" hidden="false" customHeight="false" outlineLevel="0" collapsed="false">
      <c r="A79" s="4" t="s">
        <v>3184</v>
      </c>
      <c r="B79" s="4" t="n">
        <v>20</v>
      </c>
      <c r="C79" s="4" t="n">
        <v>20</v>
      </c>
      <c r="D79" s="4" t="n">
        <v>1500</v>
      </c>
      <c r="E79" s="4" t="s">
        <v>3061</v>
      </c>
      <c r="F79" s="4" t="s">
        <v>3185</v>
      </c>
    </row>
    <row r="80" customFormat="false" ht="15" hidden="false" customHeight="false" outlineLevel="0" collapsed="false">
      <c r="A80" s="4" t="s">
        <v>3186</v>
      </c>
      <c r="B80" s="4" t="n">
        <v>25</v>
      </c>
      <c r="C80" s="4" t="n">
        <v>20</v>
      </c>
      <c r="D80" s="4" t="n">
        <v>1500</v>
      </c>
      <c r="E80" s="4" t="s">
        <v>3061</v>
      </c>
      <c r="F80" s="4"/>
    </row>
    <row r="81" customFormat="false" ht="15" hidden="false" customHeight="false" outlineLevel="0" collapsed="false">
      <c r="A81" s="4" t="s">
        <v>3187</v>
      </c>
      <c r="B81" s="4" t="n">
        <v>15</v>
      </c>
      <c r="C81" s="4" t="n">
        <v>15</v>
      </c>
      <c r="D81" s="4" t="n">
        <v>1500</v>
      </c>
      <c r="E81" s="4" t="s">
        <v>3061</v>
      </c>
      <c r="F81" s="4" t="s">
        <v>1271</v>
      </c>
    </row>
    <row r="82" customFormat="false" ht="15" hidden="false" customHeight="false" outlineLevel="0" collapsed="false">
      <c r="A82" s="4" t="s">
        <v>3188</v>
      </c>
      <c r="B82" s="4" t="n">
        <v>20</v>
      </c>
      <c r="C82" s="4" t="n">
        <v>0</v>
      </c>
      <c r="D82" s="4" t="n">
        <v>1200</v>
      </c>
      <c r="E82" s="4" t="s">
        <v>3046</v>
      </c>
      <c r="F82" s="4" t="s">
        <v>3062</v>
      </c>
    </row>
    <row r="83" customFormat="false" ht="15" hidden="false" customHeight="false" outlineLevel="0" collapsed="false">
      <c r="A83" s="4" t="s">
        <v>3189</v>
      </c>
      <c r="B83" s="4" t="n">
        <v>30</v>
      </c>
      <c r="C83" s="4" t="n">
        <v>30</v>
      </c>
      <c r="D83" s="4" t="n">
        <v>2500</v>
      </c>
      <c r="E83" s="4" t="s">
        <v>3190</v>
      </c>
      <c r="F83" s="4" t="s">
        <v>3191</v>
      </c>
    </row>
    <row r="84" customFormat="false" ht="15" hidden="false" customHeight="false" outlineLevel="0" collapsed="false">
      <c r="A84" s="4" t="s">
        <v>3192</v>
      </c>
      <c r="B84" s="4" t="n">
        <v>30</v>
      </c>
      <c r="C84" s="4" t="n">
        <v>35</v>
      </c>
      <c r="D84" s="4" t="n">
        <v>2750</v>
      </c>
      <c r="E84" s="4" t="s">
        <v>3035</v>
      </c>
      <c r="F84" s="4" t="s">
        <v>3193</v>
      </c>
    </row>
    <row r="85" customFormat="false" ht="15" hidden="false" customHeight="false" outlineLevel="0" collapsed="false">
      <c r="A85" s="4" t="s">
        <v>3194</v>
      </c>
      <c r="B85" s="4" t="n">
        <v>25</v>
      </c>
      <c r="C85" s="4" t="n">
        <v>15</v>
      </c>
      <c r="D85" s="4" t="n">
        <v>1500</v>
      </c>
      <c r="E85" s="4" t="s">
        <v>3061</v>
      </c>
      <c r="F85" s="4"/>
    </row>
    <row r="86" customFormat="false" ht="15" hidden="false" customHeight="false" outlineLevel="0" collapsed="false">
      <c r="A86" s="4" t="s">
        <v>3195</v>
      </c>
      <c r="B86" s="4" t="n">
        <v>15</v>
      </c>
      <c r="C86" s="4" t="n">
        <v>5</v>
      </c>
      <c r="D86" s="4" t="n">
        <v>1500</v>
      </c>
      <c r="E86" s="4"/>
      <c r="F86" s="4"/>
    </row>
    <row r="87" customFormat="false" ht="15" hidden="false" customHeight="false" outlineLevel="0" collapsed="false">
      <c r="A87" s="4" t="s">
        <v>3196</v>
      </c>
      <c r="B87" s="4" t="n">
        <v>25</v>
      </c>
      <c r="C87" s="4" t="n">
        <v>30</v>
      </c>
      <c r="D87" s="4" t="n">
        <v>2600</v>
      </c>
      <c r="E87" s="4" t="s">
        <v>3118</v>
      </c>
      <c r="F87" s="4" t="s">
        <v>3197</v>
      </c>
    </row>
  </sheetData>
  <autoFilter ref="A1:F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8"/>
    <col collapsed="false" customWidth="true" hidden="false" outlineLevel="0" max="5" min="4" style="0" width="10"/>
    <col collapsed="false" customWidth="true" hidden="false" outlineLevel="0" max="6" min="6" style="0" width="18"/>
    <col collapsed="false" customWidth="true" hidden="false" outlineLevel="0" max="7" min="7" style="0" width="20"/>
    <col collapsed="false" customWidth="true" hidden="false" outlineLevel="0" max="8" min="8" style="0" width="14"/>
    <col collapsed="false" customWidth="true" hidden="false" outlineLevel="0" max="9" min="9" style="0" width="40"/>
  </cols>
  <sheetData>
    <row r="1" customFormat="false" ht="35.05" hidden="false" customHeight="false" outlineLevel="0" collapsed="false">
      <c r="A1" s="21" t="s">
        <v>3198</v>
      </c>
      <c r="B1" s="21" t="s">
        <v>3199</v>
      </c>
      <c r="C1" s="21" t="s">
        <v>152</v>
      </c>
      <c r="D1" s="21" t="s">
        <v>3200</v>
      </c>
      <c r="E1" s="21" t="s">
        <v>3201</v>
      </c>
      <c r="F1" s="21" t="s">
        <v>3202</v>
      </c>
      <c r="G1" s="21" t="s">
        <v>343</v>
      </c>
      <c r="H1" s="21" t="s">
        <v>3203</v>
      </c>
      <c r="I1" s="21" t="s">
        <v>3033</v>
      </c>
    </row>
    <row r="2" customFormat="false" ht="15" hidden="false" customHeight="false" outlineLevel="0" collapsed="false">
      <c r="A2" s="4" t="s">
        <v>3204</v>
      </c>
      <c r="B2" s="4" t="s">
        <v>3205</v>
      </c>
      <c r="C2" s="4" t="n">
        <v>5</v>
      </c>
      <c r="D2" s="4" t="n">
        <v>0</v>
      </c>
      <c r="E2" s="4" t="n">
        <v>0</v>
      </c>
      <c r="F2" s="4" t="s">
        <v>3206</v>
      </c>
      <c r="G2" s="4" t="s">
        <v>3061</v>
      </c>
      <c r="H2" s="4" t="s">
        <v>3207</v>
      </c>
      <c r="I2" s="4" t="s">
        <v>3208</v>
      </c>
    </row>
    <row r="3" customFormat="false" ht="15" hidden="false" customHeight="false" outlineLevel="0" collapsed="false">
      <c r="A3" s="4" t="s">
        <v>3209</v>
      </c>
      <c r="B3" s="4" t="s">
        <v>3205</v>
      </c>
      <c r="C3" s="4" t="n">
        <v>0</v>
      </c>
      <c r="D3" s="4" t="n">
        <v>0</v>
      </c>
      <c r="E3" s="4" t="n">
        <v>0</v>
      </c>
      <c r="F3" s="4" t="s">
        <v>3210</v>
      </c>
      <c r="G3" s="4" t="s">
        <v>3056</v>
      </c>
      <c r="H3" s="4"/>
      <c r="I3" s="4" t="s">
        <v>2346</v>
      </c>
    </row>
    <row r="4" customFormat="false" ht="15" hidden="false" customHeight="false" outlineLevel="0" collapsed="false">
      <c r="A4" s="4" t="s">
        <v>3211</v>
      </c>
      <c r="B4" s="4" t="s">
        <v>3205</v>
      </c>
      <c r="C4" s="4" t="n">
        <v>0</v>
      </c>
      <c r="D4" s="4" t="n">
        <v>0</v>
      </c>
      <c r="E4" s="4" t="n">
        <v>0</v>
      </c>
      <c r="F4" s="4" t="s">
        <v>3210</v>
      </c>
      <c r="G4" s="4" t="s">
        <v>3046</v>
      </c>
      <c r="H4" s="4"/>
      <c r="I4" s="4"/>
    </row>
    <row r="5" customFormat="false" ht="15" hidden="false" customHeight="false" outlineLevel="0" collapsed="false">
      <c r="A5" s="4" t="s">
        <v>3212</v>
      </c>
      <c r="B5" s="4" t="s">
        <v>3205</v>
      </c>
      <c r="C5" s="4" t="n">
        <v>6</v>
      </c>
      <c r="D5" s="4" t="n">
        <v>0</v>
      </c>
      <c r="E5" s="4" t="n">
        <v>0</v>
      </c>
      <c r="F5" s="4" t="s">
        <v>3210</v>
      </c>
      <c r="G5" s="4" t="s">
        <v>3061</v>
      </c>
      <c r="H5" s="4" t="s">
        <v>3213</v>
      </c>
      <c r="I5" s="4" t="s">
        <v>3214</v>
      </c>
    </row>
    <row r="6" customFormat="false" ht="15" hidden="false" customHeight="false" outlineLevel="0" collapsed="false">
      <c r="A6" s="4" t="s">
        <v>3215</v>
      </c>
      <c r="B6" s="4" t="s">
        <v>3205</v>
      </c>
      <c r="C6" s="4" t="n">
        <v>0</v>
      </c>
      <c r="D6" s="4" t="n">
        <v>0</v>
      </c>
      <c r="E6" s="4" t="n">
        <v>0</v>
      </c>
      <c r="F6" s="4" t="s">
        <v>3216</v>
      </c>
      <c r="G6" s="4" t="s">
        <v>3217</v>
      </c>
      <c r="H6" s="4" t="s">
        <v>3218</v>
      </c>
      <c r="I6" s="4" t="s">
        <v>3219</v>
      </c>
    </row>
    <row r="7" customFormat="false" ht="15" hidden="false" customHeight="false" outlineLevel="0" collapsed="false">
      <c r="A7" s="4" t="s">
        <v>3220</v>
      </c>
      <c r="B7" s="4" t="s">
        <v>3205</v>
      </c>
      <c r="C7" s="4" t="n">
        <v>6</v>
      </c>
      <c r="D7" s="4" t="n">
        <v>0</v>
      </c>
      <c r="E7" s="4" t="n">
        <v>0</v>
      </c>
      <c r="F7" s="4" t="s">
        <v>3221</v>
      </c>
      <c r="G7" s="4" t="s">
        <v>3061</v>
      </c>
      <c r="H7" s="4" t="s">
        <v>980</v>
      </c>
      <c r="I7" s="4" t="s">
        <v>1647</v>
      </c>
    </row>
    <row r="8" customFormat="false" ht="15" hidden="false" customHeight="false" outlineLevel="0" collapsed="false">
      <c r="A8" s="4" t="s">
        <v>3222</v>
      </c>
      <c r="B8" s="4" t="s">
        <v>3205</v>
      </c>
      <c r="C8" s="4" t="n">
        <v>10</v>
      </c>
      <c r="D8" s="4" t="n">
        <v>0</v>
      </c>
      <c r="E8" s="4" t="n">
        <v>0</v>
      </c>
      <c r="F8" s="4" t="s">
        <v>3210</v>
      </c>
      <c r="G8" s="4" t="s">
        <v>3090</v>
      </c>
      <c r="H8" s="4"/>
      <c r="I8" s="4"/>
    </row>
    <row r="9" customFormat="false" ht="15" hidden="false" customHeight="false" outlineLevel="0" collapsed="false">
      <c r="A9" s="4" t="s">
        <v>3223</v>
      </c>
      <c r="B9" s="4" t="s">
        <v>3205</v>
      </c>
      <c r="C9" s="4" t="n">
        <v>0</v>
      </c>
      <c r="D9" s="4" t="n">
        <v>0</v>
      </c>
      <c r="E9" s="4" t="n">
        <v>0</v>
      </c>
      <c r="F9" s="4" t="s">
        <v>3210</v>
      </c>
      <c r="G9" s="4" t="s">
        <v>3046</v>
      </c>
      <c r="H9" s="4" t="s">
        <v>3224</v>
      </c>
      <c r="I9" s="4"/>
    </row>
    <row r="10" customFormat="false" ht="15" hidden="false" customHeight="false" outlineLevel="0" collapsed="false">
      <c r="A10" s="4" t="s">
        <v>3225</v>
      </c>
      <c r="B10" s="4" t="s">
        <v>3205</v>
      </c>
      <c r="C10" s="4" t="n">
        <v>0</v>
      </c>
      <c r="D10" s="4" t="n">
        <v>0</v>
      </c>
      <c r="E10" s="4" t="n">
        <v>0</v>
      </c>
      <c r="F10" s="4" t="s">
        <v>3221</v>
      </c>
      <c r="G10" s="4"/>
      <c r="H10" s="4" t="s">
        <v>3226</v>
      </c>
      <c r="I10" s="4"/>
    </row>
    <row r="11" customFormat="false" ht="15" hidden="false" customHeight="false" outlineLevel="0" collapsed="false">
      <c r="A11" s="4" t="s">
        <v>3227</v>
      </c>
      <c r="B11" s="4" t="s">
        <v>3205</v>
      </c>
      <c r="C11" s="4" t="n">
        <v>10</v>
      </c>
      <c r="D11" s="4" t="n">
        <v>0</v>
      </c>
      <c r="E11" s="4" t="n">
        <v>0</v>
      </c>
      <c r="F11" s="4" t="s">
        <v>3206</v>
      </c>
      <c r="G11" s="4" t="s">
        <v>3090</v>
      </c>
      <c r="H11" s="4" t="s">
        <v>3228</v>
      </c>
      <c r="I11" s="4"/>
    </row>
    <row r="12" customFormat="false" ht="15" hidden="false" customHeight="false" outlineLevel="0" collapsed="false">
      <c r="A12" s="4" t="s">
        <v>3229</v>
      </c>
      <c r="B12" s="4" t="s">
        <v>3205</v>
      </c>
      <c r="C12" s="4" t="n">
        <v>3</v>
      </c>
      <c r="D12" s="4" t="n">
        <v>0</v>
      </c>
      <c r="E12" s="4" t="n">
        <v>0</v>
      </c>
      <c r="F12" s="4" t="s">
        <v>3230</v>
      </c>
      <c r="G12" s="4" t="s">
        <v>3056</v>
      </c>
      <c r="H12" s="4" t="s">
        <v>3231</v>
      </c>
      <c r="I12" s="4"/>
    </row>
    <row r="13" customFormat="false" ht="15" hidden="false" customHeight="false" outlineLevel="0" collapsed="false">
      <c r="A13" s="4" t="s">
        <v>3232</v>
      </c>
      <c r="B13" s="4" t="s">
        <v>3205</v>
      </c>
      <c r="C13" s="4" t="n">
        <v>6</v>
      </c>
      <c r="D13" s="4" t="n">
        <v>0</v>
      </c>
      <c r="E13" s="4" t="n">
        <v>0</v>
      </c>
      <c r="F13" s="4" t="s">
        <v>3233</v>
      </c>
      <c r="G13" s="4"/>
      <c r="H13" s="4" t="s">
        <v>3234</v>
      </c>
      <c r="I13" s="4" t="s">
        <v>3235</v>
      </c>
    </row>
    <row r="14" customFormat="false" ht="15" hidden="false" customHeight="false" outlineLevel="0" collapsed="false">
      <c r="A14" s="4" t="s">
        <v>3236</v>
      </c>
      <c r="B14" s="4" t="s">
        <v>3205</v>
      </c>
      <c r="C14" s="4" t="n">
        <v>5</v>
      </c>
      <c r="D14" s="4" t="n">
        <v>0</v>
      </c>
      <c r="E14" s="4" t="n">
        <v>0</v>
      </c>
      <c r="F14" s="4" t="s">
        <v>3210</v>
      </c>
      <c r="G14" s="4" t="s">
        <v>3046</v>
      </c>
      <c r="H14" s="4" t="s">
        <v>3237</v>
      </c>
      <c r="I14" s="4"/>
    </row>
    <row r="15" customFormat="false" ht="15" hidden="false" customHeight="false" outlineLevel="0" collapsed="false">
      <c r="A15" s="4" t="s">
        <v>3238</v>
      </c>
      <c r="B15" s="4" t="s">
        <v>3205</v>
      </c>
      <c r="C15" s="4" t="n">
        <v>5</v>
      </c>
      <c r="D15" s="4" t="n">
        <v>0</v>
      </c>
      <c r="E15" s="4" t="n">
        <v>0</v>
      </c>
      <c r="F15" s="4" t="s">
        <v>3210</v>
      </c>
      <c r="G15" s="4" t="s">
        <v>3046</v>
      </c>
      <c r="H15" s="4" t="s">
        <v>3239</v>
      </c>
      <c r="I15" s="4" t="s">
        <v>3240</v>
      </c>
    </row>
    <row r="16" customFormat="false" ht="15" hidden="false" customHeight="false" outlineLevel="0" collapsed="false">
      <c r="A16" s="4" t="s">
        <v>3241</v>
      </c>
      <c r="B16" s="4" t="s">
        <v>3205</v>
      </c>
      <c r="C16" s="4" t="n">
        <v>3</v>
      </c>
      <c r="D16" s="4" t="n">
        <v>0</v>
      </c>
      <c r="E16" s="4" t="n">
        <v>0</v>
      </c>
      <c r="F16" s="4" t="s">
        <v>3210</v>
      </c>
      <c r="G16" s="4" t="s">
        <v>3046</v>
      </c>
      <c r="H16" s="4" t="s">
        <v>3242</v>
      </c>
      <c r="I16" s="4"/>
    </row>
    <row r="17" customFormat="false" ht="15" hidden="false" customHeight="false" outlineLevel="0" collapsed="false">
      <c r="A17" s="4" t="s">
        <v>3243</v>
      </c>
      <c r="B17" s="4" t="s">
        <v>3205</v>
      </c>
      <c r="C17" s="4" t="n">
        <v>5</v>
      </c>
      <c r="D17" s="4" t="n">
        <v>0</v>
      </c>
      <c r="E17" s="4" t="n">
        <v>0</v>
      </c>
      <c r="F17" s="4" t="s">
        <v>3221</v>
      </c>
      <c r="G17" s="4"/>
      <c r="H17" s="4" t="s">
        <v>3244</v>
      </c>
      <c r="I17" s="4"/>
    </row>
    <row r="18" customFormat="false" ht="15" hidden="false" customHeight="false" outlineLevel="0" collapsed="false">
      <c r="A18" s="4" t="s">
        <v>3245</v>
      </c>
      <c r="B18" s="4" t="s">
        <v>3205</v>
      </c>
      <c r="C18" s="4" t="n">
        <v>0</v>
      </c>
      <c r="D18" s="4" t="n">
        <v>0</v>
      </c>
      <c r="E18" s="4" t="n">
        <v>0</v>
      </c>
      <c r="F18" s="4" t="s">
        <v>3216</v>
      </c>
      <c r="G18" s="4" t="s">
        <v>3061</v>
      </c>
      <c r="H18" s="4"/>
      <c r="I18" s="4" t="s">
        <v>3246</v>
      </c>
    </row>
    <row r="19" customFormat="false" ht="15" hidden="false" customHeight="false" outlineLevel="0" collapsed="false">
      <c r="A19" s="4" t="s">
        <v>3247</v>
      </c>
      <c r="B19" s="4" t="s">
        <v>3205</v>
      </c>
      <c r="C19" s="4" t="n">
        <v>8</v>
      </c>
      <c r="D19" s="4" t="n">
        <v>0</v>
      </c>
      <c r="E19" s="4" t="n">
        <v>0</v>
      </c>
      <c r="F19" s="4" t="s">
        <v>3221</v>
      </c>
      <c r="G19" s="4" t="s">
        <v>3061</v>
      </c>
      <c r="H19" s="4" t="s">
        <v>3248</v>
      </c>
      <c r="I19" s="4" t="s">
        <v>691</v>
      </c>
    </row>
    <row r="20" customFormat="false" ht="15" hidden="false" customHeight="false" outlineLevel="0" collapsed="false">
      <c r="A20" s="4" t="s">
        <v>3249</v>
      </c>
      <c r="B20" s="4" t="s">
        <v>3205</v>
      </c>
      <c r="C20" s="4" t="n">
        <v>0</v>
      </c>
      <c r="D20" s="4" t="n">
        <v>0</v>
      </c>
      <c r="E20" s="4" t="n">
        <v>0</v>
      </c>
      <c r="F20" s="4" t="s">
        <v>3221</v>
      </c>
      <c r="G20" s="4" t="s">
        <v>3217</v>
      </c>
      <c r="H20" s="4"/>
      <c r="I20" s="4" t="s">
        <v>3250</v>
      </c>
    </row>
    <row r="21" customFormat="false" ht="15" hidden="false" customHeight="false" outlineLevel="0" collapsed="false">
      <c r="A21" s="4" t="s">
        <v>3251</v>
      </c>
      <c r="B21" s="4" t="s">
        <v>3205</v>
      </c>
      <c r="C21" s="4" t="n">
        <v>0</v>
      </c>
      <c r="D21" s="4" t="n">
        <v>0</v>
      </c>
      <c r="E21" s="4" t="n">
        <v>0</v>
      </c>
      <c r="F21" s="4" t="s">
        <v>3252</v>
      </c>
      <c r="G21" s="4" t="s">
        <v>3061</v>
      </c>
      <c r="H21" s="4"/>
      <c r="I21" s="4" t="s">
        <v>3253</v>
      </c>
    </row>
    <row r="22" customFormat="false" ht="15" hidden="false" customHeight="false" outlineLevel="0" collapsed="false">
      <c r="A22" s="4" t="s">
        <v>3254</v>
      </c>
      <c r="B22" s="4" t="s">
        <v>3205</v>
      </c>
      <c r="C22" s="4" t="n">
        <v>0</v>
      </c>
      <c r="D22" s="4" t="n">
        <v>0</v>
      </c>
      <c r="E22" s="4" t="n">
        <v>0</v>
      </c>
      <c r="F22" s="4" t="s">
        <v>3216</v>
      </c>
      <c r="G22" s="4" t="s">
        <v>3056</v>
      </c>
      <c r="H22" s="4" t="s">
        <v>3255</v>
      </c>
      <c r="I22" s="4" t="s">
        <v>1014</v>
      </c>
    </row>
    <row r="23" customFormat="false" ht="15" hidden="false" customHeight="false" outlineLevel="0" collapsed="false">
      <c r="A23" s="4" t="s">
        <v>3256</v>
      </c>
      <c r="B23" s="4" t="s">
        <v>3205</v>
      </c>
      <c r="C23" s="4" t="n">
        <v>5</v>
      </c>
      <c r="D23" s="4" t="n">
        <v>0</v>
      </c>
      <c r="E23" s="4" t="n">
        <v>0</v>
      </c>
      <c r="F23" s="4" t="s">
        <v>3221</v>
      </c>
      <c r="G23" s="4" t="s">
        <v>3061</v>
      </c>
      <c r="H23" s="4" t="s">
        <v>2134</v>
      </c>
      <c r="I23" s="4" t="s">
        <v>598</v>
      </c>
    </row>
    <row r="24" customFormat="false" ht="15" hidden="false" customHeight="false" outlineLevel="0" collapsed="false">
      <c r="A24" s="4" t="s">
        <v>3257</v>
      </c>
      <c r="B24" s="4" t="s">
        <v>3205</v>
      </c>
      <c r="C24" s="4" t="n">
        <v>5</v>
      </c>
      <c r="D24" s="4" t="n">
        <v>0</v>
      </c>
      <c r="E24" s="4" t="n">
        <v>0</v>
      </c>
      <c r="F24" s="4" t="s">
        <v>3206</v>
      </c>
      <c r="G24" s="4" t="s">
        <v>3061</v>
      </c>
      <c r="H24" s="4"/>
      <c r="I24" s="4" t="s">
        <v>3208</v>
      </c>
    </row>
    <row r="25" customFormat="false" ht="15" hidden="false" customHeight="false" outlineLevel="0" collapsed="false">
      <c r="A25" s="4" t="s">
        <v>3258</v>
      </c>
      <c r="B25" s="4" t="s">
        <v>3205</v>
      </c>
      <c r="C25" s="4" t="n">
        <v>10</v>
      </c>
      <c r="D25" s="4" t="n">
        <v>0</v>
      </c>
      <c r="E25" s="4" t="n">
        <v>0</v>
      </c>
      <c r="F25" s="4" t="s">
        <v>3206</v>
      </c>
      <c r="G25" s="4" t="s">
        <v>3090</v>
      </c>
      <c r="H25" s="4"/>
      <c r="I25" s="4" t="s">
        <v>866</v>
      </c>
    </row>
    <row r="26" customFormat="false" ht="15" hidden="false" customHeight="false" outlineLevel="0" collapsed="false">
      <c r="A26" s="4" t="s">
        <v>3259</v>
      </c>
      <c r="B26" s="4" t="s">
        <v>3205</v>
      </c>
      <c r="C26" s="4" t="n">
        <v>0</v>
      </c>
      <c r="D26" s="4" t="n">
        <v>0</v>
      </c>
      <c r="E26" s="4" t="n">
        <v>0</v>
      </c>
      <c r="F26" s="4" t="s">
        <v>3216</v>
      </c>
      <c r="G26" s="4" t="s">
        <v>3056</v>
      </c>
      <c r="H26" s="4" t="s">
        <v>3260</v>
      </c>
      <c r="I26" s="4" t="s">
        <v>587</v>
      </c>
    </row>
    <row r="27" customFormat="false" ht="15" hidden="false" customHeight="false" outlineLevel="0" collapsed="false">
      <c r="A27" s="4" t="s">
        <v>3261</v>
      </c>
      <c r="B27" s="4" t="s">
        <v>3205</v>
      </c>
      <c r="C27" s="4" t="n">
        <v>7</v>
      </c>
      <c r="D27" s="4" t="n">
        <v>0</v>
      </c>
      <c r="E27" s="4" t="n">
        <v>0</v>
      </c>
      <c r="F27" s="4" t="s">
        <v>3262</v>
      </c>
      <c r="G27" s="4" t="s">
        <v>3263</v>
      </c>
      <c r="H27" s="4" t="s">
        <v>3264</v>
      </c>
      <c r="I27" s="4" t="s">
        <v>3265</v>
      </c>
    </row>
    <row r="28" customFormat="false" ht="15" hidden="false" customHeight="false" outlineLevel="0" collapsed="false">
      <c r="A28" s="4" t="s">
        <v>3266</v>
      </c>
      <c r="B28" s="4" t="s">
        <v>3205</v>
      </c>
      <c r="C28" s="4" t="n">
        <v>8</v>
      </c>
      <c r="D28" s="4" t="n">
        <v>0</v>
      </c>
      <c r="E28" s="4" t="n">
        <v>0</v>
      </c>
      <c r="F28" s="4" t="s">
        <v>3267</v>
      </c>
      <c r="G28" s="4" t="s">
        <v>3061</v>
      </c>
      <c r="H28" s="4" t="s">
        <v>3268</v>
      </c>
      <c r="I28" s="4" t="s">
        <v>570</v>
      </c>
    </row>
    <row r="29" customFormat="false" ht="15" hidden="false" customHeight="false" outlineLevel="0" collapsed="false">
      <c r="A29" s="4" t="s">
        <v>3269</v>
      </c>
      <c r="B29" s="4" t="s">
        <v>3205</v>
      </c>
      <c r="C29" s="4" t="n">
        <v>6</v>
      </c>
      <c r="D29" s="4" t="n">
        <v>0</v>
      </c>
      <c r="E29" s="4" t="n">
        <v>0</v>
      </c>
      <c r="F29" s="4" t="s">
        <v>3216</v>
      </c>
      <c r="G29" s="4" t="s">
        <v>3270</v>
      </c>
      <c r="H29" s="4" t="s">
        <v>3271</v>
      </c>
      <c r="I29" s="4"/>
    </row>
    <row r="30" customFormat="false" ht="15" hidden="false" customHeight="false" outlineLevel="0" collapsed="false">
      <c r="A30" s="4" t="s">
        <v>3272</v>
      </c>
      <c r="B30" s="4" t="s">
        <v>3205</v>
      </c>
      <c r="C30" s="4" t="n">
        <v>10</v>
      </c>
      <c r="D30" s="4" t="n">
        <v>0</v>
      </c>
      <c r="E30" s="4" t="n">
        <v>0</v>
      </c>
      <c r="F30" s="4" t="s">
        <v>3210</v>
      </c>
      <c r="G30" s="4" t="s">
        <v>3061</v>
      </c>
      <c r="H30" s="4"/>
      <c r="I30" s="4"/>
    </row>
    <row r="31" customFormat="false" ht="15" hidden="false" customHeight="false" outlineLevel="0" collapsed="false">
      <c r="A31" s="4" t="s">
        <v>3273</v>
      </c>
      <c r="B31" s="4" t="s">
        <v>3205</v>
      </c>
      <c r="C31" s="4" t="n">
        <v>0</v>
      </c>
      <c r="D31" s="4" t="n">
        <v>0</v>
      </c>
      <c r="E31" s="4" t="n">
        <v>0</v>
      </c>
      <c r="F31" s="4" t="s">
        <v>3230</v>
      </c>
      <c r="G31" s="4"/>
      <c r="H31" s="4" t="s">
        <v>3274</v>
      </c>
      <c r="I31" s="4"/>
    </row>
    <row r="32" customFormat="false" ht="15" hidden="false" customHeight="false" outlineLevel="0" collapsed="false">
      <c r="A32" s="4" t="s">
        <v>3275</v>
      </c>
      <c r="B32" s="4" t="s">
        <v>3205</v>
      </c>
      <c r="C32" s="4" t="n">
        <v>2</v>
      </c>
      <c r="D32" s="4" t="n">
        <v>0</v>
      </c>
      <c r="E32" s="4" t="n">
        <v>0</v>
      </c>
      <c r="F32" s="4" t="s">
        <v>3230</v>
      </c>
      <c r="G32" s="4"/>
      <c r="H32" s="4"/>
      <c r="I32" s="4" t="s">
        <v>2175</v>
      </c>
    </row>
    <row r="33" customFormat="false" ht="15" hidden="false" customHeight="false" outlineLevel="0" collapsed="false">
      <c r="A33" s="4" t="s">
        <v>3276</v>
      </c>
      <c r="B33" s="4" t="s">
        <v>3205</v>
      </c>
      <c r="C33" s="4" t="n">
        <v>3</v>
      </c>
      <c r="D33" s="4" t="n">
        <v>0</v>
      </c>
      <c r="E33" s="4" t="n">
        <v>0</v>
      </c>
      <c r="F33" s="4" t="s">
        <v>3230</v>
      </c>
      <c r="G33" s="4"/>
      <c r="H33" s="4" t="s">
        <v>3277</v>
      </c>
      <c r="I33" s="4"/>
    </row>
    <row r="34" customFormat="false" ht="15" hidden="false" customHeight="false" outlineLevel="0" collapsed="false">
      <c r="A34" s="4" t="s">
        <v>3278</v>
      </c>
      <c r="B34" s="4" t="s">
        <v>3205</v>
      </c>
      <c r="C34" s="4" t="n">
        <v>3</v>
      </c>
      <c r="D34" s="4" t="n">
        <v>0</v>
      </c>
      <c r="E34" s="4" t="n">
        <v>0</v>
      </c>
      <c r="F34" s="4" t="s">
        <v>3230</v>
      </c>
      <c r="G34" s="4" t="s">
        <v>3046</v>
      </c>
      <c r="H34" s="4" t="s">
        <v>3279</v>
      </c>
      <c r="I34" s="4"/>
    </row>
    <row r="35" customFormat="false" ht="15" hidden="false" customHeight="false" outlineLevel="0" collapsed="false">
      <c r="A35" s="4" t="s">
        <v>3280</v>
      </c>
      <c r="B35" s="4" t="s">
        <v>3205</v>
      </c>
      <c r="C35" s="4" t="n">
        <v>2</v>
      </c>
      <c r="D35" s="4" t="n">
        <v>0</v>
      </c>
      <c r="E35" s="4" t="n">
        <v>0</v>
      </c>
      <c r="F35" s="4" t="s">
        <v>3230</v>
      </c>
      <c r="G35" s="4" t="s">
        <v>3056</v>
      </c>
      <c r="H35" s="4"/>
      <c r="I35" s="4" t="s">
        <v>1627</v>
      </c>
    </row>
    <row r="36" customFormat="false" ht="15" hidden="false" customHeight="false" outlineLevel="0" collapsed="false">
      <c r="A36" s="4" t="s">
        <v>3281</v>
      </c>
      <c r="B36" s="4" t="s">
        <v>3205</v>
      </c>
      <c r="C36" s="4" t="n">
        <v>8</v>
      </c>
      <c r="D36" s="4" t="n">
        <v>0</v>
      </c>
      <c r="E36" s="4" t="n">
        <v>0</v>
      </c>
      <c r="F36" s="4" t="s">
        <v>3267</v>
      </c>
      <c r="G36" s="4" t="s">
        <v>3061</v>
      </c>
      <c r="H36" s="4" t="s">
        <v>3282</v>
      </c>
      <c r="I36" s="4" t="s">
        <v>1454</v>
      </c>
    </row>
    <row r="37" customFormat="false" ht="15" hidden="false" customHeight="false" outlineLevel="0" collapsed="false">
      <c r="A37" s="4" t="s">
        <v>3283</v>
      </c>
      <c r="B37" s="4" t="s">
        <v>3205</v>
      </c>
      <c r="C37" s="4" t="n">
        <v>10</v>
      </c>
      <c r="D37" s="4" t="n">
        <v>0</v>
      </c>
      <c r="E37" s="4" t="n">
        <v>0</v>
      </c>
      <c r="F37" s="4" t="s">
        <v>3206</v>
      </c>
      <c r="G37" s="4" t="s">
        <v>3090</v>
      </c>
      <c r="H37" s="4" t="s">
        <v>3284</v>
      </c>
      <c r="I37" s="4" t="s">
        <v>3285</v>
      </c>
    </row>
    <row r="38" customFormat="false" ht="15" hidden="false" customHeight="false" outlineLevel="0" collapsed="false">
      <c r="A38" s="4" t="s">
        <v>3286</v>
      </c>
      <c r="B38" s="4" t="s">
        <v>3205</v>
      </c>
      <c r="C38" s="4" t="n">
        <v>0</v>
      </c>
      <c r="D38" s="4" t="n">
        <v>0</v>
      </c>
      <c r="E38" s="4" t="n">
        <v>0</v>
      </c>
      <c r="F38" s="4" t="s">
        <v>3210</v>
      </c>
      <c r="G38" s="4"/>
      <c r="H38" s="4" t="s">
        <v>3287</v>
      </c>
      <c r="I38" s="4"/>
    </row>
    <row r="39" customFormat="false" ht="15" hidden="false" customHeight="false" outlineLevel="0" collapsed="false">
      <c r="A39" s="4" t="s">
        <v>3288</v>
      </c>
      <c r="B39" s="4" t="s">
        <v>3205</v>
      </c>
      <c r="C39" s="4" t="n">
        <v>2</v>
      </c>
      <c r="D39" s="4" t="n">
        <v>0</v>
      </c>
      <c r="E39" s="4" t="n">
        <v>0</v>
      </c>
      <c r="F39" s="4"/>
      <c r="G39" s="4"/>
      <c r="H39" s="4" t="s">
        <v>3289</v>
      </c>
      <c r="I39" s="4"/>
    </row>
    <row r="40" customFormat="false" ht="15" hidden="false" customHeight="false" outlineLevel="0" collapsed="false">
      <c r="A40" s="4" t="s">
        <v>3290</v>
      </c>
      <c r="B40" s="4" t="s">
        <v>3205</v>
      </c>
      <c r="C40" s="4" t="n">
        <v>2</v>
      </c>
      <c r="D40" s="4" t="n">
        <v>0</v>
      </c>
      <c r="E40" s="4" t="n">
        <v>0</v>
      </c>
      <c r="F40" s="4" t="s">
        <v>3230</v>
      </c>
      <c r="G40" s="4" t="s">
        <v>3046</v>
      </c>
      <c r="H40" s="4" t="s">
        <v>3291</v>
      </c>
      <c r="I40" s="4" t="s">
        <v>1428</v>
      </c>
    </row>
    <row r="41" customFormat="false" ht="15" hidden="false" customHeight="false" outlineLevel="0" collapsed="false">
      <c r="A41" s="4" t="s">
        <v>3292</v>
      </c>
      <c r="B41" s="4" t="s">
        <v>3205</v>
      </c>
      <c r="C41" s="4" t="n">
        <v>0</v>
      </c>
      <c r="D41" s="4" t="n">
        <v>0</v>
      </c>
      <c r="E41" s="4" t="n">
        <v>0</v>
      </c>
      <c r="F41" s="4" t="s">
        <v>3216</v>
      </c>
      <c r="G41" s="4" t="s">
        <v>3056</v>
      </c>
      <c r="H41" s="4" t="s">
        <v>3293</v>
      </c>
      <c r="I41" s="4" t="s">
        <v>3294</v>
      </c>
    </row>
    <row r="42" customFormat="false" ht="15" hidden="false" customHeight="false" outlineLevel="0" collapsed="false">
      <c r="A42" s="4" t="s">
        <v>3295</v>
      </c>
      <c r="B42" s="4" t="s">
        <v>3205</v>
      </c>
      <c r="C42" s="4" t="n">
        <v>5</v>
      </c>
      <c r="D42" s="4" t="n">
        <v>0</v>
      </c>
      <c r="E42" s="4" t="n">
        <v>0</v>
      </c>
      <c r="F42" s="4" t="s">
        <v>3267</v>
      </c>
      <c r="G42" s="4" t="s">
        <v>3090</v>
      </c>
      <c r="H42" s="4"/>
      <c r="I42" s="4" t="s">
        <v>1647</v>
      </c>
    </row>
    <row r="43" customFormat="false" ht="15" hidden="false" customHeight="false" outlineLevel="0" collapsed="false">
      <c r="A43" s="4" t="s">
        <v>3296</v>
      </c>
      <c r="B43" s="4" t="s">
        <v>3205</v>
      </c>
      <c r="C43" s="4" t="n">
        <v>8</v>
      </c>
      <c r="D43" s="4" t="n">
        <v>0</v>
      </c>
      <c r="E43" s="4" t="n">
        <v>0</v>
      </c>
      <c r="F43" s="4" t="s">
        <v>3262</v>
      </c>
      <c r="G43" s="4" t="s">
        <v>3090</v>
      </c>
      <c r="H43" s="4"/>
      <c r="I43" s="4" t="s">
        <v>3109</v>
      </c>
    </row>
    <row r="44" customFormat="false" ht="15" hidden="false" customHeight="false" outlineLevel="0" collapsed="false">
      <c r="A44" s="4" t="s">
        <v>3297</v>
      </c>
      <c r="B44" s="4" t="s">
        <v>3205</v>
      </c>
      <c r="C44" s="4" t="n">
        <v>7</v>
      </c>
      <c r="D44" s="4" t="n">
        <v>0</v>
      </c>
      <c r="E44" s="4" t="n">
        <v>0</v>
      </c>
      <c r="F44" s="4" t="s">
        <v>3210</v>
      </c>
      <c r="G44" s="4" t="s">
        <v>3056</v>
      </c>
      <c r="H44" s="4" t="s">
        <v>3298</v>
      </c>
      <c r="I44" s="4"/>
    </row>
    <row r="45" customFormat="false" ht="15" hidden="false" customHeight="false" outlineLevel="0" collapsed="false">
      <c r="A45" s="4" t="s">
        <v>3299</v>
      </c>
      <c r="B45" s="4" t="s">
        <v>3205</v>
      </c>
      <c r="C45" s="4" t="n">
        <v>0</v>
      </c>
      <c r="D45" s="4" t="n">
        <v>0</v>
      </c>
      <c r="E45" s="4" t="n">
        <v>0</v>
      </c>
      <c r="F45" s="4" t="s">
        <v>3210</v>
      </c>
      <c r="G45" s="4" t="s">
        <v>3046</v>
      </c>
      <c r="H45" s="4"/>
      <c r="I45" s="4"/>
    </row>
    <row r="46" customFormat="false" ht="15" hidden="false" customHeight="false" outlineLevel="0" collapsed="false">
      <c r="A46" s="4" t="s">
        <v>3300</v>
      </c>
      <c r="B46" s="4" t="s">
        <v>3205</v>
      </c>
      <c r="C46" s="4" t="n">
        <v>0</v>
      </c>
      <c r="D46" s="4" t="n">
        <v>0</v>
      </c>
      <c r="E46" s="4" t="n">
        <v>0</v>
      </c>
      <c r="F46" s="4" t="s">
        <v>3210</v>
      </c>
      <c r="G46" s="4"/>
      <c r="H46" s="4" t="s">
        <v>3301</v>
      </c>
      <c r="I46" s="4"/>
    </row>
    <row r="47" customFormat="false" ht="15" hidden="false" customHeight="false" outlineLevel="0" collapsed="false">
      <c r="A47" s="4" t="s">
        <v>3302</v>
      </c>
      <c r="B47" s="4" t="s">
        <v>3205</v>
      </c>
      <c r="C47" s="4" t="n">
        <v>10</v>
      </c>
      <c r="D47" s="4" t="n">
        <v>0</v>
      </c>
      <c r="E47" s="4" t="n">
        <v>0</v>
      </c>
      <c r="F47" s="4" t="s">
        <v>3262</v>
      </c>
      <c r="G47" s="4" t="s">
        <v>3090</v>
      </c>
      <c r="H47" s="4"/>
      <c r="I47" s="4" t="s">
        <v>2171</v>
      </c>
    </row>
    <row r="48" customFormat="false" ht="15" hidden="false" customHeight="false" outlineLevel="0" collapsed="false">
      <c r="A48" s="4" t="s">
        <v>3303</v>
      </c>
      <c r="B48" s="4" t="s">
        <v>3205</v>
      </c>
      <c r="C48" s="4" t="n">
        <v>0</v>
      </c>
      <c r="D48" s="4" t="n">
        <v>0</v>
      </c>
      <c r="E48" s="4" t="n">
        <v>0</v>
      </c>
      <c r="F48" s="4" t="s">
        <v>3304</v>
      </c>
      <c r="G48" s="4" t="s">
        <v>3046</v>
      </c>
      <c r="H48" s="4"/>
      <c r="I48" s="4"/>
    </row>
    <row r="49" customFormat="false" ht="15" hidden="false" customHeight="false" outlineLevel="0" collapsed="false">
      <c r="A49" s="4" t="s">
        <v>3305</v>
      </c>
      <c r="B49" s="4" t="s">
        <v>3205</v>
      </c>
      <c r="C49" s="4" t="n">
        <v>2</v>
      </c>
      <c r="D49" s="4" t="n">
        <v>0</v>
      </c>
      <c r="E49" s="4" t="n">
        <v>0</v>
      </c>
      <c r="F49" s="4" t="s">
        <v>3306</v>
      </c>
      <c r="G49" s="4"/>
      <c r="H49" s="4" t="s">
        <v>3307</v>
      </c>
      <c r="I49" s="4"/>
    </row>
    <row r="50" customFormat="false" ht="15" hidden="false" customHeight="false" outlineLevel="0" collapsed="false">
      <c r="A50" s="4" t="s">
        <v>3308</v>
      </c>
      <c r="B50" s="4" t="s">
        <v>3205</v>
      </c>
      <c r="C50" s="4" t="n">
        <v>2</v>
      </c>
      <c r="D50" s="4" t="n">
        <v>0</v>
      </c>
      <c r="E50" s="4" t="n">
        <v>0</v>
      </c>
      <c r="F50" s="4"/>
      <c r="G50" s="4"/>
      <c r="H50" s="4" t="s">
        <v>3307</v>
      </c>
      <c r="I50" s="4"/>
    </row>
    <row r="51" customFormat="false" ht="15" hidden="false" customHeight="false" outlineLevel="0" collapsed="false">
      <c r="A51" s="4" t="s">
        <v>3309</v>
      </c>
      <c r="B51" s="4" t="s">
        <v>3205</v>
      </c>
      <c r="C51" s="4" t="n">
        <v>3</v>
      </c>
      <c r="D51" s="4" t="n">
        <v>0</v>
      </c>
      <c r="E51" s="4" t="n">
        <v>0</v>
      </c>
      <c r="F51" s="4" t="s">
        <v>3210</v>
      </c>
      <c r="G51" s="4"/>
      <c r="H51" s="4" t="s">
        <v>3310</v>
      </c>
      <c r="I51" s="4" t="s">
        <v>1907</v>
      </c>
    </row>
    <row r="52" customFormat="false" ht="15" hidden="false" customHeight="false" outlineLevel="0" collapsed="false">
      <c r="A52" s="4" t="s">
        <v>3311</v>
      </c>
      <c r="B52" s="4" t="s">
        <v>3205</v>
      </c>
      <c r="C52" s="4" t="n">
        <v>6</v>
      </c>
      <c r="D52" s="4" t="n">
        <v>0</v>
      </c>
      <c r="E52" s="4" t="n">
        <v>0</v>
      </c>
      <c r="F52" s="4" t="s">
        <v>3221</v>
      </c>
      <c r="G52" s="4" t="s">
        <v>3090</v>
      </c>
      <c r="H52" s="4" t="s">
        <v>3312</v>
      </c>
      <c r="I52" s="4" t="s">
        <v>1491</v>
      </c>
    </row>
    <row r="53" customFormat="false" ht="15" hidden="false" customHeight="false" outlineLevel="0" collapsed="false">
      <c r="A53" s="4" t="s">
        <v>3313</v>
      </c>
      <c r="B53" s="4" t="s">
        <v>3205</v>
      </c>
      <c r="C53" s="4" t="n">
        <v>0</v>
      </c>
      <c r="D53" s="4" t="n">
        <v>0</v>
      </c>
      <c r="E53" s="4" t="n">
        <v>0</v>
      </c>
      <c r="F53" s="4" t="s">
        <v>3210</v>
      </c>
      <c r="G53" s="4" t="s">
        <v>3046</v>
      </c>
      <c r="H53" s="4"/>
      <c r="I53" s="4"/>
    </row>
    <row r="54" customFormat="false" ht="15" hidden="false" customHeight="false" outlineLevel="0" collapsed="false">
      <c r="A54" s="4" t="s">
        <v>3314</v>
      </c>
      <c r="B54" s="4" t="s">
        <v>3205</v>
      </c>
      <c r="C54" s="4" t="n">
        <v>0</v>
      </c>
      <c r="D54" s="4" t="n">
        <v>0</v>
      </c>
      <c r="E54" s="4" t="n">
        <v>0</v>
      </c>
      <c r="F54" s="4" t="s">
        <v>3216</v>
      </c>
      <c r="G54" s="4"/>
      <c r="H54" s="4" t="s">
        <v>3315</v>
      </c>
      <c r="I54" s="4" t="s">
        <v>1575</v>
      </c>
    </row>
    <row r="55" customFormat="false" ht="15" hidden="false" customHeight="false" outlineLevel="0" collapsed="false">
      <c r="A55" s="4" t="s">
        <v>3316</v>
      </c>
      <c r="B55" s="4" t="s">
        <v>3205</v>
      </c>
      <c r="C55" s="4" t="n">
        <v>5</v>
      </c>
      <c r="D55" s="4" t="n">
        <v>0</v>
      </c>
      <c r="E55" s="4" t="n">
        <v>0</v>
      </c>
      <c r="F55" s="4" t="s">
        <v>3216</v>
      </c>
      <c r="G55" s="4" t="s">
        <v>3056</v>
      </c>
      <c r="H55" s="4"/>
      <c r="I55" s="4"/>
    </row>
    <row r="56" customFormat="false" ht="15" hidden="false" customHeight="false" outlineLevel="0" collapsed="false">
      <c r="A56" s="4" t="s">
        <v>3317</v>
      </c>
      <c r="B56" s="4" t="s">
        <v>3205</v>
      </c>
      <c r="C56" s="4" t="n">
        <v>0</v>
      </c>
      <c r="D56" s="4" t="n">
        <v>0</v>
      </c>
      <c r="E56" s="4" t="n">
        <v>0</v>
      </c>
      <c r="F56" s="4" t="s">
        <v>3221</v>
      </c>
      <c r="G56" s="4"/>
      <c r="H56" s="4"/>
      <c r="I56" s="4" t="s">
        <v>1124</v>
      </c>
    </row>
    <row r="57" customFormat="false" ht="15" hidden="false" customHeight="false" outlineLevel="0" collapsed="false">
      <c r="A57" s="4" t="s">
        <v>3318</v>
      </c>
      <c r="B57" s="4" t="s">
        <v>3205</v>
      </c>
      <c r="C57" s="4" t="n">
        <v>8</v>
      </c>
      <c r="D57" s="4" t="n">
        <v>0</v>
      </c>
      <c r="E57" s="4" t="n">
        <v>0</v>
      </c>
      <c r="F57" s="4" t="s">
        <v>3262</v>
      </c>
      <c r="G57" s="4" t="s">
        <v>3090</v>
      </c>
      <c r="H57" s="4" t="s">
        <v>3319</v>
      </c>
      <c r="I57" s="4" t="s">
        <v>3320</v>
      </c>
    </row>
    <row r="58" customFormat="false" ht="15" hidden="false" customHeight="false" outlineLevel="0" collapsed="false">
      <c r="A58" s="4" t="s">
        <v>3321</v>
      </c>
      <c r="B58" s="4" t="s">
        <v>3205</v>
      </c>
      <c r="C58" s="4" t="n">
        <v>7</v>
      </c>
      <c r="D58" s="4" t="n">
        <v>0</v>
      </c>
      <c r="E58" s="4" t="n">
        <v>0</v>
      </c>
      <c r="F58" s="4" t="s">
        <v>3216</v>
      </c>
      <c r="G58" s="4" t="s">
        <v>3090</v>
      </c>
      <c r="H58" s="4"/>
      <c r="I58" s="4"/>
    </row>
    <row r="59" customFormat="false" ht="15" hidden="false" customHeight="false" outlineLevel="0" collapsed="false">
      <c r="A59" s="4" t="s">
        <v>3322</v>
      </c>
      <c r="B59" s="4" t="s">
        <v>3205</v>
      </c>
      <c r="C59" s="4" t="n">
        <v>2</v>
      </c>
      <c r="D59" s="4" t="n">
        <v>0</v>
      </c>
      <c r="E59" s="4" t="n">
        <v>0</v>
      </c>
      <c r="F59" s="4" t="s">
        <v>3230</v>
      </c>
      <c r="G59" s="4"/>
      <c r="H59" s="4" t="s">
        <v>3323</v>
      </c>
      <c r="I59" s="4"/>
    </row>
    <row r="60" customFormat="false" ht="15" hidden="false" customHeight="false" outlineLevel="0" collapsed="false">
      <c r="A60" s="4" t="s">
        <v>3324</v>
      </c>
      <c r="B60" s="4" t="s">
        <v>3205</v>
      </c>
      <c r="C60" s="4" t="n">
        <v>3</v>
      </c>
      <c r="D60" s="4" t="n">
        <v>0</v>
      </c>
      <c r="E60" s="4" t="n">
        <v>0</v>
      </c>
      <c r="F60" s="4" t="s">
        <v>3230</v>
      </c>
      <c r="G60" s="4"/>
      <c r="H60" s="4" t="s">
        <v>3325</v>
      </c>
      <c r="I60" s="4" t="s">
        <v>3326</v>
      </c>
    </row>
    <row r="61" customFormat="false" ht="15" hidden="false" customHeight="false" outlineLevel="0" collapsed="false">
      <c r="A61" s="4" t="s">
        <v>3327</v>
      </c>
      <c r="B61" s="4" t="s">
        <v>3205</v>
      </c>
      <c r="C61" s="4" t="n">
        <v>3</v>
      </c>
      <c r="D61" s="4" t="n">
        <v>0</v>
      </c>
      <c r="E61" s="4" t="n">
        <v>0</v>
      </c>
      <c r="F61" s="4" t="s">
        <v>3230</v>
      </c>
      <c r="G61" s="4"/>
      <c r="H61" s="4"/>
      <c r="I61" s="4" t="s">
        <v>3328</v>
      </c>
    </row>
    <row r="62" customFormat="false" ht="15" hidden="false" customHeight="false" outlineLevel="0" collapsed="false">
      <c r="A62" s="4" t="s">
        <v>3329</v>
      </c>
      <c r="B62" s="4" t="s">
        <v>3205</v>
      </c>
      <c r="C62" s="4" t="n">
        <v>0</v>
      </c>
      <c r="D62" s="4" t="n">
        <v>0</v>
      </c>
      <c r="E62" s="4" t="n">
        <v>0</v>
      </c>
      <c r="F62" s="4" t="s">
        <v>3221</v>
      </c>
      <c r="G62" s="4" t="s">
        <v>3056</v>
      </c>
      <c r="H62" s="4"/>
      <c r="I62" s="4"/>
    </row>
    <row r="63" customFormat="false" ht="15" hidden="false" customHeight="false" outlineLevel="0" collapsed="false">
      <c r="A63" s="4" t="s">
        <v>3330</v>
      </c>
      <c r="B63" s="4" t="s">
        <v>3205</v>
      </c>
      <c r="C63" s="4" t="n">
        <v>5</v>
      </c>
      <c r="D63" s="4" t="n">
        <v>0</v>
      </c>
      <c r="E63" s="4" t="n">
        <v>0</v>
      </c>
      <c r="F63" s="4" t="s">
        <v>3210</v>
      </c>
      <c r="G63" s="4" t="s">
        <v>3056</v>
      </c>
      <c r="H63" s="4"/>
      <c r="I63" s="4" t="s">
        <v>672</v>
      </c>
    </row>
    <row r="64" customFormat="false" ht="15" hidden="false" customHeight="false" outlineLevel="0" collapsed="false">
      <c r="A64" s="4" t="s">
        <v>3331</v>
      </c>
      <c r="B64" s="4" t="s">
        <v>3205</v>
      </c>
      <c r="C64" s="4" t="n">
        <v>3</v>
      </c>
      <c r="D64" s="4" t="n">
        <v>0</v>
      </c>
      <c r="E64" s="4" t="n">
        <v>0</v>
      </c>
      <c r="F64" s="4" t="s">
        <v>3210</v>
      </c>
      <c r="G64" s="4" t="s">
        <v>3056</v>
      </c>
      <c r="H64" s="4" t="s">
        <v>3332</v>
      </c>
      <c r="I64" s="4"/>
    </row>
    <row r="65" customFormat="false" ht="15" hidden="false" customHeight="false" outlineLevel="0" collapsed="false">
      <c r="A65" s="4" t="s">
        <v>3333</v>
      </c>
      <c r="B65" s="4" t="s">
        <v>3205</v>
      </c>
      <c r="C65" s="4" t="n">
        <v>3</v>
      </c>
      <c r="D65" s="4" t="n">
        <v>0</v>
      </c>
      <c r="E65" s="4" t="n">
        <v>0</v>
      </c>
      <c r="F65" s="4" t="s">
        <v>3210</v>
      </c>
      <c r="G65" s="4"/>
      <c r="H65" s="4" t="s">
        <v>3334</v>
      </c>
      <c r="I65" s="4"/>
    </row>
    <row r="66" customFormat="false" ht="15" hidden="false" customHeight="false" outlineLevel="0" collapsed="false">
      <c r="A66" s="4" t="s">
        <v>3335</v>
      </c>
      <c r="B66" s="4" t="s">
        <v>3205</v>
      </c>
      <c r="C66" s="4" t="n">
        <v>6</v>
      </c>
      <c r="D66" s="4" t="n">
        <v>0</v>
      </c>
      <c r="E66" s="4" t="n">
        <v>0</v>
      </c>
      <c r="F66" s="4" t="s">
        <v>3216</v>
      </c>
      <c r="G66" s="4" t="s">
        <v>3336</v>
      </c>
      <c r="H66" s="4" t="s">
        <v>3337</v>
      </c>
      <c r="I66" s="4" t="s">
        <v>3338</v>
      </c>
    </row>
    <row r="67" customFormat="false" ht="15" hidden="false" customHeight="false" outlineLevel="0" collapsed="false">
      <c r="A67" s="4" t="s">
        <v>3339</v>
      </c>
      <c r="B67" s="4" t="s">
        <v>3205</v>
      </c>
      <c r="C67" s="4" t="n">
        <v>4</v>
      </c>
      <c r="D67" s="4" t="n">
        <v>0</v>
      </c>
      <c r="E67" s="4" t="n">
        <v>0</v>
      </c>
      <c r="F67" s="4" t="s">
        <v>3340</v>
      </c>
      <c r="G67" s="4" t="s">
        <v>3090</v>
      </c>
      <c r="H67" s="4" t="s">
        <v>3341</v>
      </c>
      <c r="I67" s="4"/>
    </row>
    <row r="68" customFormat="false" ht="15" hidden="false" customHeight="false" outlineLevel="0" collapsed="false">
      <c r="A68" s="4" t="s">
        <v>3342</v>
      </c>
      <c r="B68" s="4" t="s">
        <v>3205</v>
      </c>
      <c r="C68" s="4" t="n">
        <v>0</v>
      </c>
      <c r="D68" s="4" t="n">
        <v>0</v>
      </c>
      <c r="E68" s="4" t="n">
        <v>0</v>
      </c>
      <c r="F68" s="4" t="s">
        <v>3210</v>
      </c>
      <c r="G68" s="4" t="s">
        <v>3046</v>
      </c>
      <c r="H68" s="4"/>
      <c r="I68" s="4"/>
    </row>
    <row r="69" customFormat="false" ht="15" hidden="false" customHeight="false" outlineLevel="0" collapsed="false">
      <c r="A69" s="4" t="s">
        <v>3343</v>
      </c>
      <c r="B69" s="4" t="s">
        <v>3205</v>
      </c>
      <c r="C69" s="4" t="n">
        <v>6</v>
      </c>
      <c r="D69" s="4" t="n">
        <v>0</v>
      </c>
      <c r="E69" s="4" t="n">
        <v>0</v>
      </c>
      <c r="F69" s="4" t="s">
        <v>3216</v>
      </c>
      <c r="G69" s="4" t="s">
        <v>3061</v>
      </c>
      <c r="H69" s="4"/>
      <c r="I69" s="4" t="s">
        <v>1972</v>
      </c>
    </row>
    <row r="70" customFormat="false" ht="15" hidden="false" customHeight="false" outlineLevel="0" collapsed="false">
      <c r="A70" s="4" t="s">
        <v>3344</v>
      </c>
      <c r="B70" s="4" t="s">
        <v>3205</v>
      </c>
      <c r="C70" s="4" t="n">
        <v>0</v>
      </c>
      <c r="D70" s="4" t="n">
        <v>0</v>
      </c>
      <c r="E70" s="4" t="n">
        <v>0</v>
      </c>
      <c r="F70" s="4" t="s">
        <v>3230</v>
      </c>
      <c r="G70" s="4"/>
      <c r="H70" s="4"/>
      <c r="I70" s="4"/>
    </row>
    <row r="71" customFormat="false" ht="15" hidden="false" customHeight="false" outlineLevel="0" collapsed="false">
      <c r="A71" s="4" t="s">
        <v>3345</v>
      </c>
      <c r="B71" s="4" t="s">
        <v>3205</v>
      </c>
      <c r="C71" s="4" t="n">
        <v>6</v>
      </c>
      <c r="D71" s="4" t="n">
        <v>0</v>
      </c>
      <c r="E71" s="4" t="n">
        <v>0</v>
      </c>
      <c r="F71" s="4" t="s">
        <v>3216</v>
      </c>
      <c r="G71" s="4" t="s">
        <v>3056</v>
      </c>
      <c r="H71" s="4" t="s">
        <v>3346</v>
      </c>
      <c r="I71" s="4" t="s">
        <v>1575</v>
      </c>
    </row>
    <row r="72" customFormat="false" ht="15" hidden="false" customHeight="false" outlineLevel="0" collapsed="false">
      <c r="A72" s="4" t="s">
        <v>3347</v>
      </c>
      <c r="B72" s="4" t="s">
        <v>3205</v>
      </c>
      <c r="C72" s="4" t="n">
        <v>5</v>
      </c>
      <c r="D72" s="4" t="n">
        <v>0</v>
      </c>
      <c r="E72" s="4" t="n">
        <v>0</v>
      </c>
      <c r="F72" s="4" t="s">
        <v>3210</v>
      </c>
      <c r="G72" s="4" t="s">
        <v>3061</v>
      </c>
      <c r="H72" s="4" t="s">
        <v>3348</v>
      </c>
      <c r="I72" s="4"/>
    </row>
    <row r="73" customFormat="false" ht="15" hidden="false" customHeight="false" outlineLevel="0" collapsed="false">
      <c r="A73" s="4" t="s">
        <v>3349</v>
      </c>
      <c r="B73" s="4" t="s">
        <v>3205</v>
      </c>
      <c r="C73" s="4" t="n">
        <v>3</v>
      </c>
      <c r="D73" s="4" t="n">
        <v>0</v>
      </c>
      <c r="E73" s="4" t="n">
        <v>0</v>
      </c>
      <c r="F73" s="4" t="s">
        <v>3210</v>
      </c>
      <c r="G73" s="4"/>
      <c r="H73" s="4" t="s">
        <v>3350</v>
      </c>
      <c r="I73" s="4"/>
    </row>
    <row r="74" customFormat="false" ht="15" hidden="false" customHeight="false" outlineLevel="0" collapsed="false">
      <c r="A74" s="4" t="s">
        <v>3351</v>
      </c>
      <c r="B74" s="4" t="s">
        <v>3205</v>
      </c>
      <c r="C74" s="4" t="n">
        <v>2</v>
      </c>
      <c r="D74" s="4" t="n">
        <v>0</v>
      </c>
      <c r="E74" s="4" t="n">
        <v>0</v>
      </c>
      <c r="F74" s="4"/>
      <c r="G74" s="4"/>
      <c r="H74" s="4"/>
      <c r="I74" s="4"/>
    </row>
    <row r="75" customFormat="false" ht="15" hidden="false" customHeight="false" outlineLevel="0" collapsed="false">
      <c r="A75" s="4" t="s">
        <v>3352</v>
      </c>
      <c r="B75" s="4" t="s">
        <v>3205</v>
      </c>
      <c r="C75" s="4" t="n">
        <v>5</v>
      </c>
      <c r="D75" s="4" t="n">
        <v>0</v>
      </c>
      <c r="E75" s="4" t="n">
        <v>0</v>
      </c>
      <c r="F75" s="4" t="s">
        <v>3210</v>
      </c>
      <c r="G75" s="4" t="s">
        <v>3046</v>
      </c>
      <c r="H75" s="4" t="s">
        <v>3353</v>
      </c>
      <c r="I75" s="4"/>
    </row>
    <row r="76" customFormat="false" ht="15" hidden="false" customHeight="false" outlineLevel="0" collapsed="false">
      <c r="A76" s="4" t="s">
        <v>3354</v>
      </c>
      <c r="B76" s="4" t="s">
        <v>3205</v>
      </c>
      <c r="C76" s="4" t="n">
        <v>5</v>
      </c>
      <c r="D76" s="4" t="n">
        <v>0</v>
      </c>
      <c r="E76" s="4" t="n">
        <v>0</v>
      </c>
      <c r="F76" s="4" t="s">
        <v>3230</v>
      </c>
      <c r="G76" s="4" t="s">
        <v>3355</v>
      </c>
      <c r="H76" s="4" t="s">
        <v>3356</v>
      </c>
      <c r="I76" s="4" t="s">
        <v>3357</v>
      </c>
    </row>
    <row r="77" customFormat="false" ht="15" hidden="false" customHeight="false" outlineLevel="0" collapsed="false">
      <c r="A77" s="4" t="s">
        <v>3358</v>
      </c>
      <c r="B77" s="4" t="s">
        <v>3205</v>
      </c>
      <c r="C77" s="4" t="n">
        <v>5</v>
      </c>
      <c r="D77" s="4" t="n">
        <v>0</v>
      </c>
      <c r="E77" s="4" t="n">
        <v>0</v>
      </c>
      <c r="F77" s="4" t="s">
        <v>3221</v>
      </c>
      <c r="G77" s="4" t="s">
        <v>3061</v>
      </c>
      <c r="H77" s="4" t="s">
        <v>3359</v>
      </c>
      <c r="I77" s="4" t="s">
        <v>3358</v>
      </c>
    </row>
    <row r="78" customFormat="false" ht="15" hidden="false" customHeight="false" outlineLevel="0" collapsed="false">
      <c r="A78" s="4" t="s">
        <v>3360</v>
      </c>
      <c r="B78" s="4" t="s">
        <v>3205</v>
      </c>
      <c r="C78" s="4" t="n">
        <v>2</v>
      </c>
      <c r="D78" s="4" t="n">
        <v>0</v>
      </c>
      <c r="E78" s="4" t="n">
        <v>0</v>
      </c>
      <c r="F78" s="4" t="s">
        <v>3306</v>
      </c>
      <c r="G78" s="4"/>
      <c r="H78" s="4"/>
      <c r="I78" s="4"/>
    </row>
    <row r="79" customFormat="false" ht="15" hidden="false" customHeight="false" outlineLevel="0" collapsed="false">
      <c r="A79" s="4" t="s">
        <v>3361</v>
      </c>
      <c r="B79" s="4" t="s">
        <v>3205</v>
      </c>
      <c r="C79" s="4" t="n">
        <v>5</v>
      </c>
      <c r="D79" s="4" t="n">
        <v>0</v>
      </c>
      <c r="E79" s="4" t="n">
        <v>0</v>
      </c>
      <c r="F79" s="4" t="s">
        <v>3362</v>
      </c>
      <c r="G79" s="4" t="s">
        <v>3046</v>
      </c>
      <c r="H79" s="4"/>
      <c r="I79" s="4"/>
    </row>
    <row r="80" customFormat="false" ht="15" hidden="false" customHeight="false" outlineLevel="0" collapsed="false">
      <c r="A80" s="4" t="s">
        <v>3363</v>
      </c>
      <c r="B80" s="4" t="s">
        <v>3205</v>
      </c>
      <c r="C80" s="4" t="n">
        <v>0</v>
      </c>
      <c r="D80" s="4" t="n">
        <v>0</v>
      </c>
      <c r="E80" s="4" t="n">
        <v>0</v>
      </c>
      <c r="F80" s="4" t="s">
        <v>3221</v>
      </c>
      <c r="G80" s="4" t="s">
        <v>3061</v>
      </c>
      <c r="H80" s="4"/>
      <c r="I80" s="4" t="s">
        <v>3364</v>
      </c>
    </row>
    <row r="81" customFormat="false" ht="15" hidden="false" customHeight="false" outlineLevel="0" collapsed="false">
      <c r="A81" s="4" t="s">
        <v>3365</v>
      </c>
      <c r="B81" s="4" t="s">
        <v>3205</v>
      </c>
      <c r="C81" s="4" t="n">
        <v>0</v>
      </c>
      <c r="D81" s="4" t="n">
        <v>0</v>
      </c>
      <c r="E81" s="4" t="n">
        <v>0</v>
      </c>
      <c r="F81" s="4" t="s">
        <v>3221</v>
      </c>
      <c r="G81" s="4" t="s">
        <v>3035</v>
      </c>
      <c r="H81" s="4"/>
      <c r="I81" s="4"/>
    </row>
    <row r="82" customFormat="false" ht="15" hidden="false" customHeight="false" outlineLevel="0" collapsed="false">
      <c r="A82" s="4" t="s">
        <v>3366</v>
      </c>
      <c r="B82" s="4" t="s">
        <v>3205</v>
      </c>
      <c r="C82" s="4" t="n">
        <v>3</v>
      </c>
      <c r="D82" s="4" t="n">
        <v>0</v>
      </c>
      <c r="E82" s="4" t="n">
        <v>0</v>
      </c>
      <c r="F82" s="4" t="s">
        <v>3210</v>
      </c>
      <c r="G82" s="4" t="s">
        <v>3056</v>
      </c>
      <c r="H82" s="4" t="s">
        <v>3367</v>
      </c>
      <c r="I82" s="4"/>
    </row>
    <row r="83" customFormat="false" ht="15" hidden="false" customHeight="false" outlineLevel="0" collapsed="false">
      <c r="A83" s="4" t="s">
        <v>3368</v>
      </c>
      <c r="B83" s="4" t="s">
        <v>3205</v>
      </c>
      <c r="C83" s="4" t="n">
        <v>3</v>
      </c>
      <c r="D83" s="4" t="n">
        <v>0</v>
      </c>
      <c r="E83" s="4" t="n">
        <v>0</v>
      </c>
      <c r="F83" s="4" t="s">
        <v>3230</v>
      </c>
      <c r="G83" s="4"/>
      <c r="H83" s="4"/>
      <c r="I83" s="4"/>
    </row>
    <row r="84" customFormat="false" ht="15" hidden="false" customHeight="false" outlineLevel="0" collapsed="false">
      <c r="A84" s="4" t="s">
        <v>3369</v>
      </c>
      <c r="B84" s="4" t="s">
        <v>3205</v>
      </c>
      <c r="C84" s="4" t="n">
        <v>3</v>
      </c>
      <c r="D84" s="4" t="n">
        <v>0</v>
      </c>
      <c r="E84" s="4" t="n">
        <v>0</v>
      </c>
      <c r="F84" s="4" t="s">
        <v>3210</v>
      </c>
      <c r="G84" s="4" t="s">
        <v>3061</v>
      </c>
      <c r="H84" s="4" t="s">
        <v>3370</v>
      </c>
      <c r="I84" s="4" t="s">
        <v>1999</v>
      </c>
    </row>
    <row r="85" customFormat="false" ht="15" hidden="false" customHeight="false" outlineLevel="0" collapsed="false">
      <c r="A85" s="4" t="s">
        <v>3371</v>
      </c>
      <c r="B85" s="4" t="s">
        <v>3205</v>
      </c>
      <c r="C85" s="4" t="n">
        <v>10</v>
      </c>
      <c r="D85" s="4" t="n">
        <v>0</v>
      </c>
      <c r="E85" s="4" t="n">
        <v>0</v>
      </c>
      <c r="F85" s="4" t="s">
        <v>3362</v>
      </c>
      <c r="G85" s="4" t="s">
        <v>3090</v>
      </c>
      <c r="H85" s="4"/>
      <c r="I85" s="4"/>
    </row>
    <row r="86" customFormat="false" ht="15" hidden="false" customHeight="false" outlineLevel="0" collapsed="false">
      <c r="A86" s="4" t="s">
        <v>3372</v>
      </c>
      <c r="B86" s="4" t="s">
        <v>3205</v>
      </c>
      <c r="C86" s="4" t="n">
        <v>7</v>
      </c>
      <c r="D86" s="4" t="n">
        <v>0</v>
      </c>
      <c r="E86" s="4" t="n">
        <v>0</v>
      </c>
      <c r="F86" s="4" t="s">
        <v>3262</v>
      </c>
      <c r="G86" s="4" t="s">
        <v>3263</v>
      </c>
      <c r="H86" s="4" t="s">
        <v>3373</v>
      </c>
      <c r="I86" s="4" t="s">
        <v>1840</v>
      </c>
    </row>
    <row r="87" customFormat="false" ht="15" hidden="false" customHeight="false" outlineLevel="0" collapsed="false">
      <c r="A87" s="4" t="s">
        <v>3374</v>
      </c>
      <c r="B87" s="4" t="s">
        <v>3205</v>
      </c>
      <c r="C87" s="4" t="n">
        <v>0</v>
      </c>
      <c r="D87" s="4" t="n">
        <v>0</v>
      </c>
      <c r="E87" s="4" t="n">
        <v>0</v>
      </c>
      <c r="F87" s="4" t="s">
        <v>3216</v>
      </c>
      <c r="G87" s="4" t="s">
        <v>3061</v>
      </c>
      <c r="H87" s="4" t="s">
        <v>3375</v>
      </c>
      <c r="I87" s="4"/>
    </row>
    <row r="88" customFormat="false" ht="15" hidden="false" customHeight="false" outlineLevel="0" collapsed="false">
      <c r="A88" s="4" t="s">
        <v>3376</v>
      </c>
      <c r="B88" s="4" t="s">
        <v>3205</v>
      </c>
      <c r="C88" s="4" t="n">
        <v>6</v>
      </c>
      <c r="D88" s="4" t="n">
        <v>0</v>
      </c>
      <c r="E88" s="4" t="n">
        <v>0</v>
      </c>
      <c r="F88" s="4" t="s">
        <v>3210</v>
      </c>
      <c r="G88" s="4" t="s">
        <v>3061</v>
      </c>
      <c r="H88" s="4" t="s">
        <v>3377</v>
      </c>
      <c r="I88" s="4" t="s">
        <v>3378</v>
      </c>
    </row>
    <row r="89" customFormat="false" ht="15" hidden="false" customHeight="false" outlineLevel="0" collapsed="false">
      <c r="A89" s="4" t="s">
        <v>3379</v>
      </c>
      <c r="B89" s="4" t="s">
        <v>3205</v>
      </c>
      <c r="C89" s="4" t="n">
        <v>2</v>
      </c>
      <c r="D89" s="4" t="n">
        <v>0</v>
      </c>
      <c r="E89" s="4" t="n">
        <v>0</v>
      </c>
      <c r="F89" s="4" t="s">
        <v>3230</v>
      </c>
      <c r="G89" s="4"/>
      <c r="H89" s="4" t="s">
        <v>3380</v>
      </c>
      <c r="I89" s="4" t="s">
        <v>1907</v>
      </c>
    </row>
    <row r="90" customFormat="false" ht="15" hidden="false" customHeight="false" outlineLevel="0" collapsed="false">
      <c r="A90" s="4" t="s">
        <v>3381</v>
      </c>
      <c r="B90" s="4" t="s">
        <v>3382</v>
      </c>
      <c r="C90" s="4" t="n">
        <v>2</v>
      </c>
      <c r="D90" s="4" t="n">
        <v>0</v>
      </c>
      <c r="E90" s="4" t="n">
        <v>0</v>
      </c>
      <c r="F90" s="4"/>
      <c r="G90" s="4" t="s">
        <v>3383</v>
      </c>
      <c r="H90" s="4"/>
      <c r="I90" s="4" t="s">
        <v>3384</v>
      </c>
    </row>
    <row r="91" customFormat="false" ht="15" hidden="false" customHeight="false" outlineLevel="0" collapsed="false">
      <c r="A91" s="4" t="s">
        <v>3385</v>
      </c>
      <c r="B91" s="4" t="s">
        <v>3382</v>
      </c>
      <c r="C91" s="4" t="n">
        <v>0</v>
      </c>
      <c r="D91" s="4" t="n">
        <v>0</v>
      </c>
      <c r="E91" s="4" t="n">
        <v>0</v>
      </c>
      <c r="F91" s="4" t="s">
        <v>3386</v>
      </c>
      <c r="G91" s="4"/>
      <c r="H91" s="4"/>
      <c r="I91" s="4" t="s">
        <v>3387</v>
      </c>
    </row>
    <row r="92" customFormat="false" ht="15" hidden="false" customHeight="false" outlineLevel="0" collapsed="false">
      <c r="A92" s="4" t="s">
        <v>3388</v>
      </c>
      <c r="B92" s="4" t="s">
        <v>3382</v>
      </c>
      <c r="C92" s="4" t="n">
        <v>0</v>
      </c>
      <c r="D92" s="4" t="n">
        <v>0</v>
      </c>
      <c r="E92" s="4" t="n">
        <v>0</v>
      </c>
      <c r="F92" s="4" t="s">
        <v>3210</v>
      </c>
      <c r="G92" s="4"/>
      <c r="H92" s="4"/>
      <c r="I92" s="4" t="s">
        <v>3389</v>
      </c>
    </row>
    <row r="93" customFormat="false" ht="15" hidden="false" customHeight="false" outlineLevel="0" collapsed="false">
      <c r="A93" s="4" t="s">
        <v>3390</v>
      </c>
      <c r="B93" s="4" t="s">
        <v>3382</v>
      </c>
      <c r="C93" s="4" t="n">
        <v>0</v>
      </c>
      <c r="D93" s="4" t="n">
        <v>0</v>
      </c>
      <c r="E93" s="4" t="n">
        <v>0</v>
      </c>
      <c r="F93" s="4" t="s">
        <v>3210</v>
      </c>
      <c r="G93" s="4"/>
      <c r="H93" s="4"/>
      <c r="I93" s="4" t="s">
        <v>3391</v>
      </c>
    </row>
    <row r="94" customFormat="false" ht="15" hidden="false" customHeight="false" outlineLevel="0" collapsed="false">
      <c r="A94" s="4" t="s">
        <v>3392</v>
      </c>
      <c r="B94" s="4" t="s">
        <v>3382</v>
      </c>
      <c r="C94" s="4" t="n">
        <v>0</v>
      </c>
      <c r="D94" s="4" t="n">
        <v>0</v>
      </c>
      <c r="E94" s="4" t="n">
        <v>0</v>
      </c>
      <c r="F94" s="4" t="s">
        <v>3210</v>
      </c>
      <c r="G94" s="4" t="s">
        <v>3046</v>
      </c>
      <c r="H94" s="4"/>
      <c r="I94" s="4" t="s">
        <v>3393</v>
      </c>
    </row>
    <row r="95" customFormat="false" ht="15" hidden="false" customHeight="false" outlineLevel="0" collapsed="false">
      <c r="A95" s="4" t="s">
        <v>3394</v>
      </c>
      <c r="B95" s="4" t="s">
        <v>3382</v>
      </c>
      <c r="C95" s="4" t="n">
        <v>0</v>
      </c>
      <c r="D95" s="4" t="n">
        <v>0</v>
      </c>
      <c r="E95" s="4" t="n">
        <v>0</v>
      </c>
      <c r="F95" s="4" t="s">
        <v>3386</v>
      </c>
      <c r="G95" s="4" t="s">
        <v>3046</v>
      </c>
      <c r="H95" s="4" t="s">
        <v>3395</v>
      </c>
      <c r="I95" s="4" t="s">
        <v>3396</v>
      </c>
    </row>
    <row r="96" customFormat="false" ht="15" hidden="false" customHeight="false" outlineLevel="0" collapsed="false">
      <c r="A96" s="4" t="s">
        <v>3397</v>
      </c>
      <c r="B96" s="4" t="s">
        <v>3382</v>
      </c>
      <c r="C96" s="4" t="n">
        <v>0</v>
      </c>
      <c r="D96" s="4" t="n">
        <v>0</v>
      </c>
      <c r="E96" s="4" t="n">
        <v>0</v>
      </c>
      <c r="F96" s="4" t="s">
        <v>3210</v>
      </c>
      <c r="G96" s="4"/>
      <c r="H96" s="4"/>
      <c r="I96" s="4" t="s">
        <v>3398</v>
      </c>
    </row>
    <row r="97" customFormat="false" ht="15" hidden="false" customHeight="false" outlineLevel="0" collapsed="false">
      <c r="A97" s="4" t="s">
        <v>3399</v>
      </c>
      <c r="B97" s="4" t="s">
        <v>3382</v>
      </c>
      <c r="C97" s="4" t="n">
        <v>0</v>
      </c>
      <c r="D97" s="4" t="n">
        <v>0</v>
      </c>
      <c r="E97" s="4" t="n">
        <v>0</v>
      </c>
      <c r="F97" s="4" t="s">
        <v>3230</v>
      </c>
      <c r="G97" s="4" t="s">
        <v>3056</v>
      </c>
      <c r="H97" s="4" t="s">
        <v>3400</v>
      </c>
      <c r="I97" s="4" t="s">
        <v>3401</v>
      </c>
    </row>
    <row r="98" customFormat="false" ht="15" hidden="false" customHeight="false" outlineLevel="0" collapsed="false">
      <c r="A98" s="4" t="s">
        <v>3402</v>
      </c>
      <c r="B98" s="4" t="s">
        <v>3382</v>
      </c>
      <c r="C98" s="4" t="n">
        <v>0</v>
      </c>
      <c r="D98" s="4" t="n">
        <v>0</v>
      </c>
      <c r="E98" s="4" t="n">
        <v>0</v>
      </c>
      <c r="F98" s="4" t="s">
        <v>3386</v>
      </c>
      <c r="G98" s="4"/>
      <c r="H98" s="4" t="s">
        <v>3403</v>
      </c>
      <c r="I98" s="4" t="s">
        <v>3404</v>
      </c>
    </row>
    <row r="99" customFormat="false" ht="15" hidden="false" customHeight="false" outlineLevel="0" collapsed="false">
      <c r="A99" s="4" t="s">
        <v>3405</v>
      </c>
      <c r="B99" s="4" t="s">
        <v>3406</v>
      </c>
      <c r="C99" s="4" t="n">
        <v>0</v>
      </c>
      <c r="D99" s="4" t="n">
        <v>0</v>
      </c>
      <c r="E99" s="4" t="n">
        <v>0</v>
      </c>
      <c r="F99" s="4" t="s">
        <v>3407</v>
      </c>
      <c r="G99" s="4"/>
      <c r="H99" s="4" t="s">
        <v>3218</v>
      </c>
      <c r="I99" s="4" t="s">
        <v>3408</v>
      </c>
    </row>
    <row r="100" customFormat="false" ht="15" hidden="false" customHeight="false" outlineLevel="0" collapsed="false">
      <c r="A100" s="4" t="s">
        <v>3409</v>
      </c>
      <c r="B100" s="4" t="s">
        <v>3406</v>
      </c>
      <c r="C100" s="4" t="n">
        <v>0</v>
      </c>
      <c r="D100" s="4" t="n">
        <v>0</v>
      </c>
      <c r="E100" s="4" t="n">
        <v>0</v>
      </c>
      <c r="F100" s="4" t="s">
        <v>3407</v>
      </c>
      <c r="G100" s="4"/>
      <c r="H100" s="4"/>
      <c r="I100" s="4" t="s">
        <v>3410</v>
      </c>
    </row>
    <row r="101" customFormat="false" ht="15" hidden="false" customHeight="false" outlineLevel="0" collapsed="false">
      <c r="A101" s="4" t="s">
        <v>3411</v>
      </c>
      <c r="B101" s="4" t="s">
        <v>3406</v>
      </c>
      <c r="C101" s="4" t="n">
        <v>1</v>
      </c>
      <c r="D101" s="4" t="n">
        <v>0</v>
      </c>
      <c r="E101" s="4" t="n">
        <v>0</v>
      </c>
      <c r="F101" s="4"/>
      <c r="G101" s="4"/>
      <c r="H101" s="4"/>
      <c r="I101" s="4"/>
    </row>
    <row r="102" customFormat="false" ht="15" hidden="false" customHeight="false" outlineLevel="0" collapsed="false">
      <c r="A102" s="4" t="s">
        <v>3412</v>
      </c>
      <c r="B102" s="4" t="s">
        <v>3406</v>
      </c>
      <c r="C102" s="4" t="n">
        <v>0</v>
      </c>
      <c r="D102" s="4" t="n">
        <v>0</v>
      </c>
      <c r="E102" s="4" t="n">
        <v>0</v>
      </c>
      <c r="F102" s="4" t="s">
        <v>3407</v>
      </c>
      <c r="G102" s="4"/>
      <c r="H102" s="4"/>
      <c r="I102" s="4" t="s">
        <v>3413</v>
      </c>
    </row>
    <row r="103" customFormat="false" ht="15" hidden="false" customHeight="false" outlineLevel="0" collapsed="false">
      <c r="A103" s="4" t="s">
        <v>3414</v>
      </c>
      <c r="B103" s="4" t="s">
        <v>3406</v>
      </c>
      <c r="C103" s="4" t="n">
        <v>1</v>
      </c>
      <c r="D103" s="4" t="n">
        <v>0</v>
      </c>
      <c r="E103" s="4" t="n">
        <v>0</v>
      </c>
      <c r="F103" s="4"/>
      <c r="G103" s="4"/>
      <c r="H103" s="4"/>
      <c r="I103" s="4"/>
    </row>
    <row r="104" customFormat="false" ht="15" hidden="false" customHeight="false" outlineLevel="0" collapsed="false">
      <c r="A104" s="4" t="s">
        <v>3415</v>
      </c>
      <c r="B104" s="4" t="s">
        <v>3406</v>
      </c>
      <c r="C104" s="4" t="n">
        <v>5</v>
      </c>
      <c r="D104" s="4" t="n">
        <v>0</v>
      </c>
      <c r="E104" s="4" t="n">
        <v>0</v>
      </c>
      <c r="F104" s="4" t="s">
        <v>3230</v>
      </c>
      <c r="G104" s="4"/>
      <c r="H104" s="4"/>
      <c r="I104" s="4"/>
    </row>
    <row r="105" customFormat="false" ht="15" hidden="false" customHeight="false" outlineLevel="0" collapsed="false">
      <c r="A105" s="4" t="s">
        <v>3416</v>
      </c>
      <c r="B105" s="4" t="s">
        <v>3406</v>
      </c>
      <c r="C105" s="4" t="n">
        <v>1</v>
      </c>
      <c r="D105" s="4" t="n">
        <v>0</v>
      </c>
      <c r="E105" s="4" t="n">
        <v>0</v>
      </c>
      <c r="F105" s="4"/>
      <c r="G105" s="4"/>
      <c r="H105" s="4"/>
      <c r="I105" s="4"/>
    </row>
    <row r="106" customFormat="false" ht="15" hidden="false" customHeight="false" outlineLevel="0" collapsed="false">
      <c r="A106" s="4" t="s">
        <v>3417</v>
      </c>
      <c r="B106" s="4" t="s">
        <v>3406</v>
      </c>
      <c r="C106" s="4" t="n">
        <v>0</v>
      </c>
      <c r="D106" s="4" t="n">
        <v>0</v>
      </c>
      <c r="E106" s="4" t="n">
        <v>0</v>
      </c>
      <c r="F106" s="4" t="s">
        <v>3230</v>
      </c>
      <c r="G106" s="4"/>
      <c r="H106" s="4"/>
      <c r="I106" s="4" t="s">
        <v>3418</v>
      </c>
    </row>
    <row r="107" customFormat="false" ht="15" hidden="false" customHeight="false" outlineLevel="0" collapsed="false">
      <c r="A107" s="4" t="s">
        <v>3419</v>
      </c>
      <c r="B107" s="4" t="s">
        <v>3406</v>
      </c>
      <c r="C107" s="4" t="n">
        <v>0</v>
      </c>
      <c r="D107" s="4" t="n">
        <v>0</v>
      </c>
      <c r="E107" s="4" t="n">
        <v>0</v>
      </c>
      <c r="F107" s="4" t="s">
        <v>3230</v>
      </c>
      <c r="G107" s="4" t="s">
        <v>3056</v>
      </c>
      <c r="H107" s="4"/>
      <c r="I107" s="4" t="s">
        <v>3420</v>
      </c>
    </row>
    <row r="108" customFormat="false" ht="15" hidden="false" customHeight="false" outlineLevel="0" collapsed="false">
      <c r="A108" s="4" t="s">
        <v>3421</v>
      </c>
      <c r="B108" s="4" t="s">
        <v>3406</v>
      </c>
      <c r="C108" s="4" t="n">
        <v>1</v>
      </c>
      <c r="D108" s="4" t="n">
        <v>0</v>
      </c>
      <c r="E108" s="4" t="n">
        <v>0</v>
      </c>
      <c r="F108" s="4"/>
      <c r="G108" s="4"/>
      <c r="H108" s="4"/>
      <c r="I108" s="4"/>
    </row>
    <row r="109" customFormat="false" ht="15" hidden="false" customHeight="false" outlineLevel="0" collapsed="false">
      <c r="A109" s="4" t="s">
        <v>3422</v>
      </c>
      <c r="B109" s="4" t="s">
        <v>3406</v>
      </c>
      <c r="C109" s="4" t="n">
        <v>1</v>
      </c>
      <c r="D109" s="4" t="n">
        <v>0</v>
      </c>
      <c r="E109" s="4" t="n">
        <v>0</v>
      </c>
      <c r="F109" s="4"/>
      <c r="G109" s="4"/>
      <c r="H109" s="4"/>
      <c r="I109" s="4"/>
    </row>
    <row r="110" customFormat="false" ht="15" hidden="false" customHeight="false" outlineLevel="0" collapsed="false">
      <c r="A110" s="4" t="s">
        <v>3423</v>
      </c>
      <c r="B110" s="4" t="s">
        <v>3406</v>
      </c>
      <c r="C110" s="4" t="n">
        <v>1</v>
      </c>
      <c r="D110" s="4" t="n">
        <v>0</v>
      </c>
      <c r="E110" s="4" t="n">
        <v>0</v>
      </c>
      <c r="F110" s="4"/>
      <c r="G110" s="4"/>
      <c r="H110" s="4"/>
      <c r="I110" s="4"/>
    </row>
    <row r="111" customFormat="false" ht="15" hidden="false" customHeight="false" outlineLevel="0" collapsed="false">
      <c r="A111" s="4" t="s">
        <v>3424</v>
      </c>
      <c r="B111" s="4" t="s">
        <v>3406</v>
      </c>
      <c r="C111" s="4" t="n">
        <v>0</v>
      </c>
      <c r="D111" s="4" t="n">
        <v>0</v>
      </c>
      <c r="E111" s="4" t="n">
        <v>0</v>
      </c>
      <c r="F111" s="4" t="s">
        <v>3230</v>
      </c>
      <c r="G111" s="4"/>
      <c r="H111" s="4" t="s">
        <v>3425</v>
      </c>
      <c r="I111" s="4" t="s">
        <v>3426</v>
      </c>
    </row>
    <row r="112" customFormat="false" ht="15" hidden="false" customHeight="false" outlineLevel="0" collapsed="false">
      <c r="A112" s="4" t="s">
        <v>3427</v>
      </c>
      <c r="B112" s="4" t="s">
        <v>3406</v>
      </c>
      <c r="C112" s="4" t="n">
        <v>1</v>
      </c>
      <c r="D112" s="4" t="n">
        <v>0</v>
      </c>
      <c r="E112" s="4" t="n">
        <v>0</v>
      </c>
      <c r="F112" s="4"/>
      <c r="G112" s="4"/>
      <c r="H112" s="4"/>
      <c r="I112" s="4"/>
    </row>
    <row r="113" customFormat="false" ht="15" hidden="false" customHeight="false" outlineLevel="0" collapsed="false">
      <c r="A113" s="4" t="s">
        <v>3428</v>
      </c>
      <c r="B113" s="4" t="s">
        <v>3406</v>
      </c>
      <c r="C113" s="4" t="n">
        <v>1</v>
      </c>
      <c r="D113" s="4" t="n">
        <v>0</v>
      </c>
      <c r="E113" s="4" t="n">
        <v>0</v>
      </c>
      <c r="F113" s="4"/>
      <c r="G113" s="4"/>
      <c r="H113" s="4"/>
      <c r="I113" s="4"/>
    </row>
    <row r="114" customFormat="false" ht="15" hidden="false" customHeight="false" outlineLevel="0" collapsed="false">
      <c r="A114" s="4" t="s">
        <v>3429</v>
      </c>
      <c r="B114" s="4" t="s">
        <v>3406</v>
      </c>
      <c r="C114" s="4" t="n">
        <v>0</v>
      </c>
      <c r="D114" s="4" t="n">
        <v>0</v>
      </c>
      <c r="E114" s="4" t="n">
        <v>0</v>
      </c>
      <c r="F114" s="4" t="s">
        <v>3210</v>
      </c>
      <c r="G114" s="4"/>
      <c r="H114" s="4"/>
      <c r="I114" s="4" t="s">
        <v>3418</v>
      </c>
    </row>
    <row r="115" customFormat="false" ht="15" hidden="false" customHeight="false" outlineLevel="0" collapsed="false">
      <c r="A115" s="4" t="s">
        <v>3430</v>
      </c>
      <c r="B115" s="4" t="s">
        <v>3406</v>
      </c>
      <c r="C115" s="4" t="n">
        <v>0</v>
      </c>
      <c r="D115" s="4" t="n">
        <v>0</v>
      </c>
      <c r="E115" s="4" t="n">
        <v>0</v>
      </c>
      <c r="F115" s="4" t="s">
        <v>3230</v>
      </c>
      <c r="G115" s="4" t="s">
        <v>3061</v>
      </c>
      <c r="H115" s="4" t="s">
        <v>3431</v>
      </c>
      <c r="I115" s="4" t="s">
        <v>1643</v>
      </c>
    </row>
    <row r="116" customFormat="false" ht="15" hidden="false" customHeight="false" outlineLevel="0" collapsed="false">
      <c r="A116" s="4" t="s">
        <v>3432</v>
      </c>
      <c r="B116" s="4" t="s">
        <v>3433</v>
      </c>
      <c r="C116" s="4" t="n">
        <v>0</v>
      </c>
      <c r="D116" s="4" t="n">
        <v>0</v>
      </c>
      <c r="E116" s="4" t="n">
        <v>0</v>
      </c>
      <c r="F116" s="4" t="s">
        <v>3230</v>
      </c>
      <c r="G116" s="4"/>
      <c r="H116" s="4"/>
      <c r="I116" s="4"/>
    </row>
    <row r="117" customFormat="false" ht="15" hidden="false" customHeight="false" outlineLevel="0" collapsed="false">
      <c r="A117" s="4" t="s">
        <v>3434</v>
      </c>
      <c r="B117" s="4" t="s">
        <v>3433</v>
      </c>
      <c r="C117" s="4" t="n">
        <v>5</v>
      </c>
      <c r="D117" s="4" t="n">
        <v>0</v>
      </c>
      <c r="E117" s="4" t="n">
        <v>0</v>
      </c>
      <c r="F117" s="4" t="s">
        <v>3340</v>
      </c>
      <c r="G117" s="4" t="s">
        <v>3090</v>
      </c>
      <c r="H117" s="4" t="s">
        <v>3228</v>
      </c>
      <c r="I117" s="4"/>
    </row>
    <row r="118" customFormat="false" ht="15" hidden="false" customHeight="false" outlineLevel="0" collapsed="false">
      <c r="A118" s="4" t="s">
        <v>3435</v>
      </c>
      <c r="B118" s="4" t="s">
        <v>3433</v>
      </c>
      <c r="C118" s="4" t="n">
        <v>0</v>
      </c>
      <c r="D118" s="4" t="n">
        <v>0</v>
      </c>
      <c r="E118" s="4" t="n">
        <v>0</v>
      </c>
      <c r="F118" s="4" t="s">
        <v>3306</v>
      </c>
      <c r="G118" s="4"/>
      <c r="H118" s="4"/>
      <c r="I118" s="4" t="s">
        <v>490</v>
      </c>
    </row>
    <row r="119" customFormat="false" ht="15" hidden="false" customHeight="false" outlineLevel="0" collapsed="false">
      <c r="A119" s="4" t="s">
        <v>3436</v>
      </c>
      <c r="B119" s="4" t="s">
        <v>3433</v>
      </c>
      <c r="C119" s="4" t="n">
        <v>0</v>
      </c>
      <c r="D119" s="4" t="n">
        <v>0</v>
      </c>
      <c r="E119" s="4" t="n">
        <v>0</v>
      </c>
      <c r="F119" s="4" t="s">
        <v>3362</v>
      </c>
      <c r="G119" s="4" t="s">
        <v>3217</v>
      </c>
      <c r="H119" s="4" t="s">
        <v>3218</v>
      </c>
      <c r="I119" s="4" t="s">
        <v>3437</v>
      </c>
    </row>
    <row r="120" customFormat="false" ht="15" hidden="false" customHeight="false" outlineLevel="0" collapsed="false">
      <c r="A120" s="4" t="s">
        <v>3438</v>
      </c>
      <c r="B120" s="4" t="s">
        <v>3433</v>
      </c>
      <c r="C120" s="4" t="n">
        <v>0</v>
      </c>
      <c r="D120" s="4" t="n">
        <v>0</v>
      </c>
      <c r="E120" s="4" t="n">
        <v>0</v>
      </c>
      <c r="F120" s="4" t="s">
        <v>3210</v>
      </c>
      <c r="G120" s="4" t="s">
        <v>3439</v>
      </c>
      <c r="H120" s="4" t="s">
        <v>980</v>
      </c>
      <c r="I120" s="4" t="s">
        <v>979</v>
      </c>
    </row>
    <row r="121" customFormat="false" ht="15" hidden="false" customHeight="false" outlineLevel="0" collapsed="false">
      <c r="A121" s="4" t="s">
        <v>3440</v>
      </c>
      <c r="B121" s="4" t="s">
        <v>3433</v>
      </c>
      <c r="C121" s="4" t="n">
        <v>8</v>
      </c>
      <c r="D121" s="4" t="n">
        <v>0</v>
      </c>
      <c r="E121" s="4" t="n">
        <v>0</v>
      </c>
      <c r="F121" s="4" t="s">
        <v>3441</v>
      </c>
      <c r="G121" s="4"/>
      <c r="H121" s="4"/>
      <c r="I121" s="4" t="s">
        <v>2205</v>
      </c>
    </row>
    <row r="122" customFormat="false" ht="15" hidden="false" customHeight="false" outlineLevel="0" collapsed="false">
      <c r="A122" s="4" t="s">
        <v>3442</v>
      </c>
      <c r="B122" s="4" t="s">
        <v>3433</v>
      </c>
      <c r="C122" s="4" t="n">
        <v>0</v>
      </c>
      <c r="D122" s="4" t="n">
        <v>0</v>
      </c>
      <c r="E122" s="4" t="n">
        <v>0</v>
      </c>
      <c r="F122" s="4" t="s">
        <v>3230</v>
      </c>
      <c r="G122" s="4"/>
      <c r="H122" s="4"/>
      <c r="I122" s="4" t="s">
        <v>490</v>
      </c>
    </row>
    <row r="123" customFormat="false" ht="15" hidden="false" customHeight="false" outlineLevel="0" collapsed="false">
      <c r="A123" s="4" t="s">
        <v>3443</v>
      </c>
      <c r="B123" s="4" t="s">
        <v>3433</v>
      </c>
      <c r="C123" s="4" t="n">
        <v>0</v>
      </c>
      <c r="D123" s="4" t="n">
        <v>0</v>
      </c>
      <c r="E123" s="4" t="n">
        <v>0</v>
      </c>
      <c r="F123" s="4" t="s">
        <v>3230</v>
      </c>
      <c r="G123" s="4"/>
      <c r="H123" s="4"/>
      <c r="I123" s="4" t="s">
        <v>3444</v>
      </c>
    </row>
    <row r="124" customFormat="false" ht="15" hidden="false" customHeight="false" outlineLevel="0" collapsed="false">
      <c r="A124" s="4" t="s">
        <v>3445</v>
      </c>
      <c r="B124" s="4" t="s">
        <v>3433</v>
      </c>
      <c r="C124" s="4" t="n">
        <v>5</v>
      </c>
      <c r="D124" s="4" t="n">
        <v>0</v>
      </c>
      <c r="E124" s="4" t="n">
        <v>0</v>
      </c>
      <c r="F124" s="4" t="s">
        <v>3210</v>
      </c>
      <c r="G124" s="4" t="s">
        <v>3061</v>
      </c>
      <c r="H124" s="4"/>
      <c r="I124" s="4" t="s">
        <v>847</v>
      </c>
    </row>
    <row r="125" customFormat="false" ht="15" hidden="false" customHeight="false" outlineLevel="0" collapsed="false">
      <c r="A125" s="4" t="s">
        <v>3446</v>
      </c>
      <c r="B125" s="4" t="s">
        <v>3433</v>
      </c>
      <c r="C125" s="4" t="n">
        <v>10</v>
      </c>
      <c r="D125" s="4" t="n">
        <v>0</v>
      </c>
      <c r="E125" s="4" t="n">
        <v>0</v>
      </c>
      <c r="F125" s="4" t="s">
        <v>3441</v>
      </c>
      <c r="G125" s="4" t="s">
        <v>3056</v>
      </c>
      <c r="H125" s="4" t="s">
        <v>3231</v>
      </c>
      <c r="I125" s="4"/>
    </row>
    <row r="126" customFormat="false" ht="15" hidden="false" customHeight="false" outlineLevel="0" collapsed="false">
      <c r="A126" s="4" t="s">
        <v>3447</v>
      </c>
      <c r="B126" s="4" t="s">
        <v>3433</v>
      </c>
      <c r="C126" s="4" t="n">
        <v>0</v>
      </c>
      <c r="D126" s="4" t="n">
        <v>0</v>
      </c>
      <c r="E126" s="4" t="n">
        <v>0</v>
      </c>
      <c r="F126" s="4" t="s">
        <v>3210</v>
      </c>
      <c r="G126" s="4" t="s">
        <v>3056</v>
      </c>
      <c r="H126" s="4" t="s">
        <v>3448</v>
      </c>
      <c r="I126" s="4" t="s">
        <v>3449</v>
      </c>
    </row>
    <row r="127" customFormat="false" ht="15" hidden="false" customHeight="false" outlineLevel="0" collapsed="false">
      <c r="A127" s="4" t="s">
        <v>3450</v>
      </c>
      <c r="B127" s="4" t="s">
        <v>3433</v>
      </c>
      <c r="C127" s="4" t="n">
        <v>5</v>
      </c>
      <c r="D127" s="4" t="n">
        <v>0</v>
      </c>
      <c r="E127" s="4" t="n">
        <v>0</v>
      </c>
      <c r="F127" s="4" t="s">
        <v>3216</v>
      </c>
      <c r="G127" s="4" t="s">
        <v>3061</v>
      </c>
      <c r="H127" s="4"/>
      <c r="I127" s="4" t="s">
        <v>755</v>
      </c>
    </row>
    <row r="128" customFormat="false" ht="15" hidden="false" customHeight="false" outlineLevel="0" collapsed="false">
      <c r="A128" s="4" t="s">
        <v>3451</v>
      </c>
      <c r="B128" s="4" t="s">
        <v>3433</v>
      </c>
      <c r="C128" s="4" t="n">
        <v>3</v>
      </c>
      <c r="D128" s="4" t="n">
        <v>0</v>
      </c>
      <c r="E128" s="4" t="n">
        <v>0</v>
      </c>
      <c r="F128" s="4" t="s">
        <v>3210</v>
      </c>
      <c r="G128" s="4" t="s">
        <v>3051</v>
      </c>
      <c r="H128" s="4" t="s">
        <v>3242</v>
      </c>
      <c r="I128" s="4"/>
    </row>
    <row r="129" customFormat="false" ht="15" hidden="false" customHeight="false" outlineLevel="0" collapsed="false">
      <c r="A129" s="4" t="s">
        <v>3452</v>
      </c>
      <c r="B129" s="4" t="s">
        <v>3433</v>
      </c>
      <c r="C129" s="4" t="n">
        <v>2</v>
      </c>
      <c r="D129" s="4" t="n">
        <v>0</v>
      </c>
      <c r="E129" s="4" t="n">
        <v>0</v>
      </c>
      <c r="F129" s="4" t="s">
        <v>3441</v>
      </c>
      <c r="G129" s="4" t="s">
        <v>3061</v>
      </c>
      <c r="H129" s="4" t="s">
        <v>3453</v>
      </c>
      <c r="I129" s="4" t="s">
        <v>3454</v>
      </c>
    </row>
    <row r="130" customFormat="false" ht="15" hidden="false" customHeight="false" outlineLevel="0" collapsed="false">
      <c r="A130" s="4" t="s">
        <v>3455</v>
      </c>
      <c r="B130" s="4" t="s">
        <v>3433</v>
      </c>
      <c r="C130" s="4" t="n">
        <v>5</v>
      </c>
      <c r="D130" s="4" t="n">
        <v>0</v>
      </c>
      <c r="E130" s="4" t="n">
        <v>0</v>
      </c>
      <c r="F130" s="4" t="s">
        <v>3216</v>
      </c>
      <c r="G130" s="4"/>
      <c r="H130" s="4" t="s">
        <v>3248</v>
      </c>
      <c r="I130" s="4" t="s">
        <v>1402</v>
      </c>
    </row>
    <row r="131" customFormat="false" ht="15" hidden="false" customHeight="false" outlineLevel="0" collapsed="false">
      <c r="A131" s="4" t="s">
        <v>3456</v>
      </c>
      <c r="B131" s="4" t="s">
        <v>3433</v>
      </c>
      <c r="C131" s="4" t="n">
        <v>10</v>
      </c>
      <c r="D131" s="4" t="n">
        <v>0</v>
      </c>
      <c r="E131" s="4" t="n">
        <v>0</v>
      </c>
      <c r="F131" s="4" t="s">
        <v>3362</v>
      </c>
      <c r="G131" s="4"/>
      <c r="H131" s="4"/>
      <c r="I131" s="4" t="s">
        <v>3457</v>
      </c>
    </row>
    <row r="132" customFormat="false" ht="15" hidden="false" customHeight="false" outlineLevel="0" collapsed="false">
      <c r="A132" s="4" t="s">
        <v>3458</v>
      </c>
      <c r="B132" s="4" t="s">
        <v>3433</v>
      </c>
      <c r="C132" s="4" t="n">
        <v>0</v>
      </c>
      <c r="D132" s="4" t="n">
        <v>0</v>
      </c>
      <c r="E132" s="4" t="n">
        <v>0</v>
      </c>
      <c r="F132" s="4" t="s">
        <v>3216</v>
      </c>
      <c r="G132" s="4" t="s">
        <v>3061</v>
      </c>
      <c r="H132" s="4" t="s">
        <v>3255</v>
      </c>
      <c r="I132" s="4" t="s">
        <v>2312</v>
      </c>
    </row>
    <row r="133" customFormat="false" ht="15" hidden="false" customHeight="false" outlineLevel="0" collapsed="false">
      <c r="A133" s="4" t="s">
        <v>3459</v>
      </c>
      <c r="B133" s="4" t="s">
        <v>3433</v>
      </c>
      <c r="C133" s="4" t="n">
        <v>5</v>
      </c>
      <c r="D133" s="4" t="n">
        <v>0</v>
      </c>
      <c r="E133" s="4" t="n">
        <v>0</v>
      </c>
      <c r="F133" s="4" t="s">
        <v>3216</v>
      </c>
      <c r="G133" s="4" t="s">
        <v>3056</v>
      </c>
      <c r="H133" s="4"/>
      <c r="I133" s="4" t="s">
        <v>3460</v>
      </c>
    </row>
    <row r="134" customFormat="false" ht="15" hidden="false" customHeight="false" outlineLevel="0" collapsed="false">
      <c r="A134" s="4" t="s">
        <v>3461</v>
      </c>
      <c r="B134" s="4" t="s">
        <v>3433</v>
      </c>
      <c r="C134" s="4" t="n">
        <v>0</v>
      </c>
      <c r="D134" s="4" t="n">
        <v>0</v>
      </c>
      <c r="E134" s="4" t="n">
        <v>0</v>
      </c>
      <c r="F134" s="4" t="s">
        <v>3221</v>
      </c>
      <c r="G134" s="4" t="s">
        <v>3439</v>
      </c>
      <c r="H134" s="4" t="s">
        <v>2134</v>
      </c>
      <c r="I134" s="4"/>
    </row>
    <row r="135" customFormat="false" ht="15" hidden="false" customHeight="false" outlineLevel="0" collapsed="false">
      <c r="A135" s="4" t="s">
        <v>3462</v>
      </c>
      <c r="B135" s="4" t="s">
        <v>3433</v>
      </c>
      <c r="C135" s="4" t="n">
        <v>5</v>
      </c>
      <c r="D135" s="4" t="n">
        <v>0</v>
      </c>
      <c r="E135" s="4" t="n">
        <v>0</v>
      </c>
      <c r="F135" s="4" t="s">
        <v>3340</v>
      </c>
      <c r="G135" s="4" t="s">
        <v>3463</v>
      </c>
      <c r="H135" s="4" t="s">
        <v>3264</v>
      </c>
      <c r="I135" s="4" t="s">
        <v>3464</v>
      </c>
    </row>
    <row r="136" customFormat="false" ht="15" hidden="false" customHeight="false" outlineLevel="0" collapsed="false">
      <c r="A136" s="4" t="s">
        <v>3465</v>
      </c>
      <c r="B136" s="4" t="s">
        <v>3433</v>
      </c>
      <c r="C136" s="4" t="n">
        <v>4</v>
      </c>
      <c r="D136" s="4" t="n">
        <v>0</v>
      </c>
      <c r="E136" s="4" t="n">
        <v>0</v>
      </c>
      <c r="F136" s="4" t="s">
        <v>3362</v>
      </c>
      <c r="G136" s="4" t="s">
        <v>3061</v>
      </c>
      <c r="H136" s="4" t="s">
        <v>3271</v>
      </c>
      <c r="I136" s="4"/>
    </row>
    <row r="137" customFormat="false" ht="15" hidden="false" customHeight="false" outlineLevel="0" collapsed="false">
      <c r="A137" s="4" t="s">
        <v>3466</v>
      </c>
      <c r="B137" s="4" t="s">
        <v>3433</v>
      </c>
      <c r="C137" s="4" t="n">
        <v>10</v>
      </c>
      <c r="D137" s="4" t="n">
        <v>0</v>
      </c>
      <c r="E137" s="4" t="n">
        <v>0</v>
      </c>
      <c r="F137" s="4" t="s">
        <v>3441</v>
      </c>
      <c r="G137" s="4" t="s">
        <v>3056</v>
      </c>
      <c r="H137" s="4"/>
      <c r="I137" s="4"/>
    </row>
    <row r="138" customFormat="false" ht="15" hidden="false" customHeight="false" outlineLevel="0" collapsed="false">
      <c r="A138" s="4" t="s">
        <v>3467</v>
      </c>
      <c r="B138" s="4" t="s">
        <v>3433</v>
      </c>
      <c r="C138" s="4" t="n">
        <v>10</v>
      </c>
      <c r="D138" s="4" t="n">
        <v>0</v>
      </c>
      <c r="E138" s="4" t="n">
        <v>0</v>
      </c>
      <c r="F138" s="4" t="s">
        <v>3441</v>
      </c>
      <c r="G138" s="4" t="s">
        <v>3056</v>
      </c>
      <c r="H138" s="4"/>
      <c r="I138" s="4"/>
    </row>
    <row r="139" customFormat="false" ht="15" hidden="false" customHeight="false" outlineLevel="0" collapsed="false">
      <c r="A139" s="4" t="s">
        <v>3468</v>
      </c>
      <c r="B139" s="4" t="s">
        <v>3433</v>
      </c>
      <c r="C139" s="4" t="n">
        <v>10</v>
      </c>
      <c r="D139" s="4" t="n">
        <v>0</v>
      </c>
      <c r="E139" s="4" t="n">
        <v>0</v>
      </c>
      <c r="F139" s="4" t="s">
        <v>3441</v>
      </c>
      <c r="G139" s="4" t="s">
        <v>3056</v>
      </c>
      <c r="H139" s="4"/>
      <c r="I139" s="4"/>
    </row>
    <row r="140" customFormat="false" ht="15" hidden="false" customHeight="false" outlineLevel="0" collapsed="false">
      <c r="A140" s="4" t="s">
        <v>3469</v>
      </c>
      <c r="B140" s="4" t="s">
        <v>3433</v>
      </c>
      <c r="C140" s="4" t="n">
        <v>3</v>
      </c>
      <c r="D140" s="4" t="n">
        <v>0</v>
      </c>
      <c r="E140" s="4" t="n">
        <v>0</v>
      </c>
      <c r="F140" s="4" t="s">
        <v>3306</v>
      </c>
      <c r="G140" s="4"/>
      <c r="H140" s="4"/>
      <c r="I140" s="4"/>
    </row>
    <row r="141" customFormat="false" ht="15" hidden="false" customHeight="false" outlineLevel="0" collapsed="false">
      <c r="A141" s="4" t="s">
        <v>3470</v>
      </c>
      <c r="B141" s="4" t="s">
        <v>3433</v>
      </c>
      <c r="C141" s="4" t="n">
        <v>0</v>
      </c>
      <c r="D141" s="4" t="n">
        <v>0</v>
      </c>
      <c r="E141" s="4" t="n">
        <v>0</v>
      </c>
      <c r="F141" s="4" t="s">
        <v>3210</v>
      </c>
      <c r="G141" s="4" t="s">
        <v>3051</v>
      </c>
      <c r="H141" s="4" t="s">
        <v>3395</v>
      </c>
      <c r="I141" s="4" t="s">
        <v>3471</v>
      </c>
    </row>
    <row r="142" customFormat="false" ht="15" hidden="false" customHeight="false" outlineLevel="0" collapsed="false">
      <c r="A142" s="4" t="s">
        <v>3472</v>
      </c>
      <c r="B142" s="4" t="s">
        <v>3433</v>
      </c>
      <c r="C142" s="4" t="n">
        <v>5</v>
      </c>
      <c r="D142" s="4" t="n">
        <v>0</v>
      </c>
      <c r="E142" s="4" t="n">
        <v>0</v>
      </c>
      <c r="F142" s="4" t="s">
        <v>3230</v>
      </c>
      <c r="G142" s="4" t="s">
        <v>3056</v>
      </c>
      <c r="H142" s="4" t="s">
        <v>3279</v>
      </c>
      <c r="I142" s="4"/>
    </row>
    <row r="143" customFormat="false" ht="15" hidden="false" customHeight="false" outlineLevel="0" collapsed="false">
      <c r="A143" s="4" t="s">
        <v>3473</v>
      </c>
      <c r="B143" s="4" t="s">
        <v>3433</v>
      </c>
      <c r="C143" s="4" t="n">
        <v>5</v>
      </c>
      <c r="D143" s="4" t="n">
        <v>0</v>
      </c>
      <c r="E143" s="4" t="n">
        <v>0</v>
      </c>
      <c r="F143" s="4" t="s">
        <v>3230</v>
      </c>
      <c r="G143" s="4"/>
      <c r="H143" s="4"/>
      <c r="I143" s="4"/>
    </row>
    <row r="144" customFormat="false" ht="15" hidden="false" customHeight="false" outlineLevel="0" collapsed="false">
      <c r="A144" s="4" t="s">
        <v>3474</v>
      </c>
      <c r="B144" s="4" t="s">
        <v>3433</v>
      </c>
      <c r="C144" s="4" t="n">
        <v>3</v>
      </c>
      <c r="D144" s="4" t="n">
        <v>0</v>
      </c>
      <c r="E144" s="4" t="n">
        <v>0</v>
      </c>
      <c r="F144" s="4" t="s">
        <v>3216</v>
      </c>
      <c r="G144" s="4" t="s">
        <v>3056</v>
      </c>
      <c r="H144" s="4" t="s">
        <v>3282</v>
      </c>
      <c r="I144" s="4" t="s">
        <v>2205</v>
      </c>
    </row>
    <row r="145" customFormat="false" ht="15" hidden="false" customHeight="false" outlineLevel="0" collapsed="false">
      <c r="A145" s="4" t="s">
        <v>3475</v>
      </c>
      <c r="B145" s="4" t="s">
        <v>3433</v>
      </c>
      <c r="C145" s="4" t="n">
        <v>5</v>
      </c>
      <c r="D145" s="4" t="n">
        <v>0</v>
      </c>
      <c r="E145" s="4" t="n">
        <v>0</v>
      </c>
      <c r="F145" s="4" t="s">
        <v>3216</v>
      </c>
      <c r="G145" s="4" t="s">
        <v>3061</v>
      </c>
      <c r="H145" s="4" t="s">
        <v>3284</v>
      </c>
      <c r="I145" s="4" t="s">
        <v>3476</v>
      </c>
    </row>
    <row r="146" customFormat="false" ht="15" hidden="false" customHeight="false" outlineLevel="0" collapsed="false">
      <c r="A146" s="4" t="s">
        <v>3477</v>
      </c>
      <c r="B146" s="4" t="s">
        <v>3433</v>
      </c>
      <c r="C146" s="4" t="n">
        <v>5</v>
      </c>
      <c r="D146" s="4" t="n">
        <v>0</v>
      </c>
      <c r="E146" s="4" t="n">
        <v>0</v>
      </c>
      <c r="F146" s="4"/>
      <c r="G146" s="4"/>
      <c r="H146" s="4" t="s">
        <v>3289</v>
      </c>
      <c r="I146" s="4"/>
    </row>
    <row r="147" customFormat="false" ht="15" hidden="false" customHeight="false" outlineLevel="0" collapsed="false">
      <c r="A147" s="4" t="s">
        <v>3478</v>
      </c>
      <c r="B147" s="4" t="s">
        <v>3433</v>
      </c>
      <c r="C147" s="4" t="n">
        <v>0</v>
      </c>
      <c r="D147" s="4" t="n">
        <v>0</v>
      </c>
      <c r="E147" s="4" t="n">
        <v>0</v>
      </c>
      <c r="F147" s="4" t="s">
        <v>3230</v>
      </c>
      <c r="G147" s="4"/>
      <c r="H147" s="4" t="s">
        <v>3291</v>
      </c>
      <c r="I147" s="4"/>
    </row>
    <row r="148" customFormat="false" ht="15" hidden="false" customHeight="false" outlineLevel="0" collapsed="false">
      <c r="A148" s="4" t="s">
        <v>3479</v>
      </c>
      <c r="B148" s="4" t="s">
        <v>3433</v>
      </c>
      <c r="C148" s="4" t="n">
        <v>0</v>
      </c>
      <c r="D148" s="4" t="n">
        <v>0</v>
      </c>
      <c r="E148" s="4" t="n">
        <v>0</v>
      </c>
      <c r="F148" s="4" t="s">
        <v>3340</v>
      </c>
      <c r="G148" s="4" t="s">
        <v>3046</v>
      </c>
      <c r="H148" s="4"/>
      <c r="I148" s="4"/>
    </row>
    <row r="149" customFormat="false" ht="15" hidden="false" customHeight="false" outlineLevel="0" collapsed="false">
      <c r="A149" s="4" t="s">
        <v>3480</v>
      </c>
      <c r="B149" s="4" t="s">
        <v>3433</v>
      </c>
      <c r="C149" s="4" t="n">
        <v>0</v>
      </c>
      <c r="D149" s="4" t="n">
        <v>0</v>
      </c>
      <c r="E149" s="4" t="n">
        <v>0</v>
      </c>
      <c r="F149" s="4" t="s">
        <v>3306</v>
      </c>
      <c r="G149" s="4"/>
      <c r="H149" s="4"/>
      <c r="I149" s="4" t="s">
        <v>3444</v>
      </c>
    </row>
    <row r="150" customFormat="false" ht="15" hidden="false" customHeight="false" outlineLevel="0" collapsed="false">
      <c r="A150" s="4" t="s">
        <v>3481</v>
      </c>
      <c r="B150" s="4" t="s">
        <v>3433</v>
      </c>
      <c r="C150" s="4" t="n">
        <v>0</v>
      </c>
      <c r="D150" s="4" t="n">
        <v>0</v>
      </c>
      <c r="E150" s="4" t="n">
        <v>0</v>
      </c>
      <c r="F150" s="4" t="s">
        <v>3340</v>
      </c>
      <c r="G150" s="4" t="s">
        <v>3046</v>
      </c>
      <c r="H150" s="4"/>
      <c r="I150" s="4"/>
    </row>
    <row r="151" customFormat="false" ht="15" hidden="false" customHeight="false" outlineLevel="0" collapsed="false">
      <c r="A151" s="4" t="s">
        <v>3482</v>
      </c>
      <c r="B151" s="4" t="s">
        <v>3433</v>
      </c>
      <c r="C151" s="4" t="n">
        <v>0</v>
      </c>
      <c r="D151" s="4" t="n">
        <v>0</v>
      </c>
      <c r="E151" s="4" t="n">
        <v>0</v>
      </c>
      <c r="F151" s="4" t="s">
        <v>3216</v>
      </c>
      <c r="G151" s="4" t="s">
        <v>3046</v>
      </c>
      <c r="H151" s="4"/>
      <c r="I151" s="4" t="s">
        <v>3483</v>
      </c>
    </row>
    <row r="152" customFormat="false" ht="15" hidden="false" customHeight="false" outlineLevel="0" collapsed="false">
      <c r="A152" s="4" t="s">
        <v>3484</v>
      </c>
      <c r="B152" s="4" t="s">
        <v>3433</v>
      </c>
      <c r="C152" s="4" t="n">
        <v>0</v>
      </c>
      <c r="D152" s="4" t="n">
        <v>0</v>
      </c>
      <c r="E152" s="4" t="n">
        <v>0</v>
      </c>
      <c r="F152" s="4" t="s">
        <v>3362</v>
      </c>
      <c r="G152" s="4" t="s">
        <v>3046</v>
      </c>
      <c r="H152" s="4"/>
      <c r="I152" s="4"/>
    </row>
    <row r="153" customFormat="false" ht="15" hidden="false" customHeight="false" outlineLevel="0" collapsed="false">
      <c r="A153" s="4" t="s">
        <v>3485</v>
      </c>
      <c r="B153" s="4" t="s">
        <v>3433</v>
      </c>
      <c r="C153" s="4" t="n">
        <v>4</v>
      </c>
      <c r="D153" s="4" t="n">
        <v>0</v>
      </c>
      <c r="E153" s="4" t="n">
        <v>0</v>
      </c>
      <c r="F153" s="4" t="s">
        <v>3441</v>
      </c>
      <c r="G153" s="4" t="s">
        <v>3051</v>
      </c>
      <c r="H153" s="4"/>
      <c r="I153" s="4" t="s">
        <v>3486</v>
      </c>
    </row>
    <row r="154" customFormat="false" ht="15" hidden="false" customHeight="false" outlineLevel="0" collapsed="false">
      <c r="A154" s="4" t="s">
        <v>3487</v>
      </c>
      <c r="B154" s="4" t="s">
        <v>3433</v>
      </c>
      <c r="C154" s="4" t="n">
        <v>3</v>
      </c>
      <c r="D154" s="4" t="n">
        <v>0</v>
      </c>
      <c r="E154" s="4" t="n">
        <v>0</v>
      </c>
      <c r="F154" s="4" t="s">
        <v>3221</v>
      </c>
      <c r="G154" s="4" t="s">
        <v>3061</v>
      </c>
      <c r="H154" s="4"/>
      <c r="I154" s="4" t="s">
        <v>3488</v>
      </c>
    </row>
    <row r="155" customFormat="false" ht="15" hidden="false" customHeight="false" outlineLevel="0" collapsed="false">
      <c r="A155" s="4" t="s">
        <v>3489</v>
      </c>
      <c r="B155" s="4" t="s">
        <v>3433</v>
      </c>
      <c r="C155" s="4" t="n">
        <v>8</v>
      </c>
      <c r="D155" s="4" t="n">
        <v>0</v>
      </c>
      <c r="E155" s="4" t="n">
        <v>0</v>
      </c>
      <c r="F155" s="4" t="s">
        <v>3230</v>
      </c>
      <c r="G155" s="4" t="s">
        <v>3046</v>
      </c>
      <c r="H155" s="4"/>
      <c r="I155" s="4"/>
    </row>
    <row r="156" customFormat="false" ht="15" hidden="false" customHeight="false" outlineLevel="0" collapsed="false">
      <c r="A156" s="4" t="s">
        <v>3490</v>
      </c>
      <c r="B156" s="4" t="s">
        <v>3433</v>
      </c>
      <c r="C156" s="4" t="n">
        <v>10</v>
      </c>
      <c r="D156" s="4" t="n">
        <v>0</v>
      </c>
      <c r="E156" s="4" t="n">
        <v>0</v>
      </c>
      <c r="F156" s="4" t="s">
        <v>3362</v>
      </c>
      <c r="G156" s="4"/>
      <c r="H156" s="4"/>
      <c r="I156" s="4"/>
    </row>
    <row r="157" customFormat="false" ht="15" hidden="false" customHeight="false" outlineLevel="0" collapsed="false">
      <c r="A157" s="4" t="s">
        <v>3491</v>
      </c>
      <c r="B157" s="4" t="s">
        <v>3433</v>
      </c>
      <c r="C157" s="4" t="n">
        <v>5</v>
      </c>
      <c r="D157" s="4" t="n">
        <v>0</v>
      </c>
      <c r="E157" s="4" t="n">
        <v>0</v>
      </c>
      <c r="F157" s="4"/>
      <c r="G157" s="4"/>
      <c r="H157" s="4"/>
      <c r="I157" s="4"/>
    </row>
    <row r="158" customFormat="false" ht="15" hidden="false" customHeight="false" outlineLevel="0" collapsed="false">
      <c r="A158" s="4" t="s">
        <v>3492</v>
      </c>
      <c r="B158" s="4" t="s">
        <v>3433</v>
      </c>
      <c r="C158" s="4" t="n">
        <v>10</v>
      </c>
      <c r="D158" s="4" t="n">
        <v>0</v>
      </c>
      <c r="E158" s="4" t="n">
        <v>0</v>
      </c>
      <c r="F158" s="4" t="s">
        <v>3306</v>
      </c>
      <c r="G158" s="4" t="s">
        <v>3061</v>
      </c>
      <c r="H158" s="4" t="s">
        <v>3310</v>
      </c>
      <c r="I158" s="4"/>
    </row>
    <row r="159" customFormat="false" ht="15" hidden="false" customHeight="false" outlineLevel="0" collapsed="false">
      <c r="A159" s="4" t="s">
        <v>3493</v>
      </c>
      <c r="B159" s="4" t="s">
        <v>3433</v>
      </c>
      <c r="C159" s="4" t="n">
        <v>0</v>
      </c>
      <c r="D159" s="4" t="n">
        <v>0</v>
      </c>
      <c r="E159" s="4" t="n">
        <v>0</v>
      </c>
      <c r="F159" s="4" t="s">
        <v>3210</v>
      </c>
      <c r="G159" s="4" t="s">
        <v>3051</v>
      </c>
      <c r="H159" s="4"/>
      <c r="I159" s="4" t="s">
        <v>3494</v>
      </c>
    </row>
    <row r="160" customFormat="false" ht="15" hidden="false" customHeight="false" outlineLevel="0" collapsed="false">
      <c r="A160" s="4" t="s">
        <v>3495</v>
      </c>
      <c r="B160" s="4" t="s">
        <v>3433</v>
      </c>
      <c r="C160" s="4" t="n">
        <v>0</v>
      </c>
      <c r="D160" s="4" t="n">
        <v>0</v>
      </c>
      <c r="E160" s="4" t="n">
        <v>0</v>
      </c>
      <c r="F160" s="4" t="s">
        <v>3210</v>
      </c>
      <c r="G160" s="4" t="s">
        <v>3051</v>
      </c>
      <c r="H160" s="4" t="s">
        <v>3319</v>
      </c>
      <c r="I160" s="4" t="s">
        <v>598</v>
      </c>
    </row>
    <row r="161" customFormat="false" ht="15" hidden="false" customHeight="false" outlineLevel="0" collapsed="false">
      <c r="A161" s="4" t="s">
        <v>3496</v>
      </c>
      <c r="B161" s="4" t="s">
        <v>3433</v>
      </c>
      <c r="C161" s="4" t="n">
        <v>0</v>
      </c>
      <c r="D161" s="4" t="n">
        <v>0</v>
      </c>
      <c r="E161" s="4" t="n">
        <v>0</v>
      </c>
      <c r="F161" s="4" t="s">
        <v>3210</v>
      </c>
      <c r="G161" s="4"/>
      <c r="H161" s="4" t="s">
        <v>3425</v>
      </c>
      <c r="I161" s="4" t="s">
        <v>3497</v>
      </c>
    </row>
    <row r="162" customFormat="false" ht="15" hidden="false" customHeight="false" outlineLevel="0" collapsed="false">
      <c r="A162" s="4" t="s">
        <v>3498</v>
      </c>
      <c r="B162" s="4" t="s">
        <v>3433</v>
      </c>
      <c r="C162" s="4" t="n">
        <v>0</v>
      </c>
      <c r="D162" s="4" t="n">
        <v>0</v>
      </c>
      <c r="E162" s="4" t="n">
        <v>0</v>
      </c>
      <c r="F162" s="4" t="s">
        <v>3230</v>
      </c>
      <c r="G162" s="4"/>
      <c r="H162" s="4"/>
      <c r="I162" s="4" t="s">
        <v>3499</v>
      </c>
    </row>
    <row r="163" customFormat="false" ht="15" hidden="false" customHeight="false" outlineLevel="0" collapsed="false">
      <c r="A163" s="4" t="s">
        <v>3500</v>
      </c>
      <c r="B163" s="4" t="s">
        <v>3433</v>
      </c>
      <c r="C163" s="4" t="n">
        <v>5</v>
      </c>
      <c r="D163" s="4" t="n">
        <v>0</v>
      </c>
      <c r="E163" s="4" t="n">
        <v>0</v>
      </c>
      <c r="F163" s="4" t="s">
        <v>3306</v>
      </c>
      <c r="G163" s="4"/>
      <c r="H163" s="4"/>
      <c r="I163" s="4" t="s">
        <v>3501</v>
      </c>
    </row>
    <row r="164" customFormat="false" ht="15" hidden="false" customHeight="false" outlineLevel="0" collapsed="false">
      <c r="A164" s="4" t="s">
        <v>3502</v>
      </c>
      <c r="B164" s="4" t="s">
        <v>3433</v>
      </c>
      <c r="C164" s="4" t="n">
        <v>10</v>
      </c>
      <c r="D164" s="4" t="n">
        <v>0</v>
      </c>
      <c r="E164" s="4" t="n">
        <v>0</v>
      </c>
      <c r="F164" s="4" t="s">
        <v>3441</v>
      </c>
      <c r="G164" s="4" t="s">
        <v>3056</v>
      </c>
      <c r="H164" s="4" t="s">
        <v>3503</v>
      </c>
      <c r="I164" s="4" t="s">
        <v>3504</v>
      </c>
    </row>
    <row r="165" customFormat="false" ht="15" hidden="false" customHeight="false" outlineLevel="0" collapsed="false">
      <c r="A165" s="4" t="s">
        <v>3505</v>
      </c>
      <c r="B165" s="4" t="s">
        <v>3433</v>
      </c>
      <c r="C165" s="4" t="n">
        <v>2</v>
      </c>
      <c r="D165" s="4" t="n">
        <v>0</v>
      </c>
      <c r="E165" s="4" t="n">
        <v>0</v>
      </c>
      <c r="F165" s="4" t="s">
        <v>3233</v>
      </c>
      <c r="G165" s="4" t="s">
        <v>3061</v>
      </c>
      <c r="H165" s="4"/>
      <c r="I165" s="4" t="s">
        <v>3506</v>
      </c>
    </row>
    <row r="166" customFormat="false" ht="15" hidden="false" customHeight="false" outlineLevel="0" collapsed="false">
      <c r="A166" s="4" t="s">
        <v>3507</v>
      </c>
      <c r="B166" s="4" t="s">
        <v>3433</v>
      </c>
      <c r="C166" s="4" t="n">
        <v>3</v>
      </c>
      <c r="D166" s="4" t="n">
        <v>0</v>
      </c>
      <c r="E166" s="4" t="n">
        <v>0</v>
      </c>
      <c r="F166" s="4" t="s">
        <v>3230</v>
      </c>
      <c r="G166" s="4" t="s">
        <v>3056</v>
      </c>
      <c r="H166" s="4" t="s">
        <v>3312</v>
      </c>
      <c r="I166" s="4" t="s">
        <v>1919</v>
      </c>
    </row>
    <row r="167" customFormat="false" ht="15" hidden="false" customHeight="false" outlineLevel="0" collapsed="false">
      <c r="A167" s="4" t="s">
        <v>3508</v>
      </c>
      <c r="B167" s="4" t="s">
        <v>3433</v>
      </c>
      <c r="C167" s="4" t="n">
        <v>4</v>
      </c>
      <c r="D167" s="4" t="n">
        <v>0</v>
      </c>
      <c r="E167" s="4" t="n">
        <v>0</v>
      </c>
      <c r="F167" s="4" t="s">
        <v>3362</v>
      </c>
      <c r="G167" s="4" t="s">
        <v>3217</v>
      </c>
      <c r="H167" s="4" t="s">
        <v>3337</v>
      </c>
      <c r="I167" s="4" t="s">
        <v>3509</v>
      </c>
    </row>
    <row r="168" customFormat="false" ht="15" hidden="false" customHeight="false" outlineLevel="0" collapsed="false">
      <c r="A168" s="4" t="s">
        <v>3510</v>
      </c>
      <c r="B168" s="4" t="s">
        <v>3433</v>
      </c>
      <c r="C168" s="4" t="n">
        <v>4</v>
      </c>
      <c r="D168" s="4" t="n">
        <v>0</v>
      </c>
      <c r="E168" s="4" t="n">
        <v>0</v>
      </c>
      <c r="F168" s="4" t="s">
        <v>3340</v>
      </c>
      <c r="G168" s="4"/>
      <c r="H168" s="4" t="s">
        <v>3341</v>
      </c>
      <c r="I168" s="4"/>
    </row>
    <row r="169" customFormat="false" ht="15" hidden="false" customHeight="false" outlineLevel="0" collapsed="false">
      <c r="A169" s="4" t="s">
        <v>3511</v>
      </c>
      <c r="B169" s="4" t="s">
        <v>3433</v>
      </c>
      <c r="C169" s="4" t="n">
        <v>0</v>
      </c>
      <c r="D169" s="4" t="n">
        <v>0</v>
      </c>
      <c r="E169" s="4" t="n">
        <v>0</v>
      </c>
      <c r="F169" s="4" t="s">
        <v>3362</v>
      </c>
      <c r="G169" s="4"/>
      <c r="H169" s="4"/>
      <c r="I169" s="4" t="s">
        <v>3512</v>
      </c>
    </row>
    <row r="170" customFormat="false" ht="15" hidden="false" customHeight="false" outlineLevel="0" collapsed="false">
      <c r="A170" s="4" t="s">
        <v>3513</v>
      </c>
      <c r="B170" s="4" t="s">
        <v>3433</v>
      </c>
      <c r="C170" s="4" t="n">
        <v>8</v>
      </c>
      <c r="D170" s="4" t="n">
        <v>0</v>
      </c>
      <c r="E170" s="4" t="n">
        <v>0</v>
      </c>
      <c r="F170" s="4" t="s">
        <v>3230</v>
      </c>
      <c r="G170" s="4" t="s">
        <v>3061</v>
      </c>
      <c r="H170" s="4" t="s">
        <v>3348</v>
      </c>
      <c r="I170" s="4"/>
    </row>
    <row r="171" customFormat="false" ht="15" hidden="false" customHeight="false" outlineLevel="0" collapsed="false">
      <c r="A171" s="4" t="s">
        <v>3514</v>
      </c>
      <c r="B171" s="4" t="s">
        <v>3433</v>
      </c>
      <c r="C171" s="4" t="n">
        <v>10</v>
      </c>
      <c r="D171" s="4" t="n">
        <v>0</v>
      </c>
      <c r="E171" s="4" t="n">
        <v>0</v>
      </c>
      <c r="F171" s="4" t="s">
        <v>3441</v>
      </c>
      <c r="G171" s="4" t="s">
        <v>3056</v>
      </c>
      <c r="H171" s="4" t="s">
        <v>3350</v>
      </c>
      <c r="I171" s="4"/>
    </row>
    <row r="172" customFormat="false" ht="15" hidden="false" customHeight="false" outlineLevel="0" collapsed="false">
      <c r="A172" s="4" t="s">
        <v>3515</v>
      </c>
      <c r="B172" s="4" t="s">
        <v>3433</v>
      </c>
      <c r="C172" s="4" t="n">
        <v>5</v>
      </c>
      <c r="D172" s="4" t="n">
        <v>0</v>
      </c>
      <c r="E172" s="4" t="n">
        <v>0</v>
      </c>
      <c r="F172" s="4" t="s">
        <v>3216</v>
      </c>
      <c r="G172" s="4" t="s">
        <v>3061</v>
      </c>
      <c r="H172" s="4"/>
      <c r="I172" s="4" t="s">
        <v>3516</v>
      </c>
    </row>
    <row r="173" customFormat="false" ht="15" hidden="false" customHeight="false" outlineLevel="0" collapsed="false">
      <c r="A173" s="4" t="s">
        <v>3517</v>
      </c>
      <c r="B173" s="4" t="s">
        <v>3433</v>
      </c>
      <c r="C173" s="4" t="n">
        <v>4</v>
      </c>
      <c r="D173" s="4" t="n">
        <v>0</v>
      </c>
      <c r="E173" s="4" t="n">
        <v>0</v>
      </c>
      <c r="F173" s="4" t="s">
        <v>3306</v>
      </c>
      <c r="G173" s="4"/>
      <c r="H173" s="4" t="s">
        <v>3353</v>
      </c>
      <c r="I173" s="4"/>
    </row>
    <row r="174" customFormat="false" ht="15" hidden="false" customHeight="false" outlineLevel="0" collapsed="false">
      <c r="A174" s="4" t="s">
        <v>3518</v>
      </c>
      <c r="B174" s="4" t="s">
        <v>3433</v>
      </c>
      <c r="C174" s="4" t="n">
        <v>8</v>
      </c>
      <c r="D174" s="4" t="n">
        <v>0</v>
      </c>
      <c r="E174" s="4" t="n">
        <v>0</v>
      </c>
      <c r="F174" s="4"/>
      <c r="G174" s="4" t="s">
        <v>3355</v>
      </c>
      <c r="H174" s="4" t="s">
        <v>3356</v>
      </c>
      <c r="I174" s="4" t="s">
        <v>3519</v>
      </c>
    </row>
    <row r="175" customFormat="false" ht="15" hidden="false" customHeight="false" outlineLevel="0" collapsed="false">
      <c r="A175" s="4" t="s">
        <v>3520</v>
      </c>
      <c r="B175" s="4" t="s">
        <v>3433</v>
      </c>
      <c r="C175" s="4" t="n">
        <v>3</v>
      </c>
      <c r="D175" s="4" t="n">
        <v>0</v>
      </c>
      <c r="E175" s="4" t="n">
        <v>0</v>
      </c>
      <c r="F175" s="4" t="s">
        <v>3210</v>
      </c>
      <c r="G175" s="4" t="s">
        <v>3051</v>
      </c>
      <c r="H175" s="4"/>
      <c r="I175" s="4" t="s">
        <v>3521</v>
      </c>
    </row>
    <row r="176" customFormat="false" ht="15" hidden="false" customHeight="false" outlineLevel="0" collapsed="false">
      <c r="A176" s="4" t="s">
        <v>3522</v>
      </c>
      <c r="B176" s="4" t="s">
        <v>3433</v>
      </c>
      <c r="C176" s="4" t="n">
        <v>0</v>
      </c>
      <c r="D176" s="4" t="n">
        <v>0</v>
      </c>
      <c r="E176" s="4" t="n">
        <v>0</v>
      </c>
      <c r="F176" s="4" t="s">
        <v>3230</v>
      </c>
      <c r="G176" s="4" t="s">
        <v>3046</v>
      </c>
      <c r="H176" s="4" t="s">
        <v>3523</v>
      </c>
      <c r="I176" s="4"/>
    </row>
    <row r="177" customFormat="false" ht="15" hidden="false" customHeight="false" outlineLevel="0" collapsed="false">
      <c r="A177" s="4" t="s">
        <v>3524</v>
      </c>
      <c r="B177" s="4" t="s">
        <v>3433</v>
      </c>
      <c r="C177" s="4" t="n">
        <v>5</v>
      </c>
      <c r="D177" s="4" t="n">
        <v>0</v>
      </c>
      <c r="E177" s="4" t="n">
        <v>0</v>
      </c>
      <c r="F177" s="4" t="s">
        <v>3216</v>
      </c>
      <c r="G177" s="4" t="s">
        <v>3061</v>
      </c>
      <c r="H177" s="4"/>
      <c r="I177" s="4" t="s">
        <v>3525</v>
      </c>
    </row>
    <row r="178" customFormat="false" ht="15" hidden="false" customHeight="false" outlineLevel="0" collapsed="false">
      <c r="A178" s="4" t="s">
        <v>3526</v>
      </c>
      <c r="B178" s="4" t="s">
        <v>3433</v>
      </c>
      <c r="C178" s="4" t="n">
        <v>3</v>
      </c>
      <c r="D178" s="4" t="n">
        <v>0</v>
      </c>
      <c r="E178" s="4" t="n">
        <v>0</v>
      </c>
      <c r="F178" s="4" t="s">
        <v>3221</v>
      </c>
      <c r="G178" s="4" t="s">
        <v>3061</v>
      </c>
      <c r="H178" s="4"/>
      <c r="I178" s="4" t="s">
        <v>735</v>
      </c>
    </row>
    <row r="179" customFormat="false" ht="15" hidden="false" customHeight="false" outlineLevel="0" collapsed="false">
      <c r="A179" s="4" t="s">
        <v>3527</v>
      </c>
      <c r="B179" s="4" t="s">
        <v>3433</v>
      </c>
      <c r="C179" s="4" t="n">
        <v>4</v>
      </c>
      <c r="D179" s="4" t="n">
        <v>0</v>
      </c>
      <c r="E179" s="4" t="n">
        <v>0</v>
      </c>
      <c r="F179" s="4" t="s">
        <v>3441</v>
      </c>
      <c r="G179" s="4" t="s">
        <v>3051</v>
      </c>
      <c r="H179" s="4" t="s">
        <v>3213</v>
      </c>
      <c r="I179" s="4" t="s">
        <v>1352</v>
      </c>
    </row>
    <row r="180" customFormat="false" ht="15" hidden="false" customHeight="false" outlineLevel="0" collapsed="false">
      <c r="A180" s="4" t="s">
        <v>3528</v>
      </c>
      <c r="B180" s="4" t="s">
        <v>3433</v>
      </c>
      <c r="C180" s="4" t="n">
        <v>4</v>
      </c>
      <c r="D180" s="4" t="n">
        <v>0</v>
      </c>
      <c r="E180" s="4" t="n">
        <v>0</v>
      </c>
      <c r="F180" s="4" t="s">
        <v>3306</v>
      </c>
      <c r="G180" s="4"/>
      <c r="H180" s="4"/>
      <c r="I180" s="4"/>
    </row>
    <row r="181" customFormat="false" ht="15" hidden="false" customHeight="false" outlineLevel="0" collapsed="false">
      <c r="A181" s="4" t="s">
        <v>3529</v>
      </c>
      <c r="B181" s="4" t="s">
        <v>3433</v>
      </c>
      <c r="C181" s="4" t="n">
        <v>0</v>
      </c>
      <c r="D181" s="4" t="n">
        <v>0</v>
      </c>
      <c r="E181" s="4" t="n">
        <v>0</v>
      </c>
      <c r="F181" s="4" t="s">
        <v>3221</v>
      </c>
      <c r="G181" s="4" t="s">
        <v>3439</v>
      </c>
      <c r="H181" s="4"/>
      <c r="I181" s="4"/>
    </row>
    <row r="182" customFormat="false" ht="15" hidden="false" customHeight="false" outlineLevel="0" collapsed="false">
      <c r="A182" s="4" t="s">
        <v>3530</v>
      </c>
      <c r="B182" s="4" t="s">
        <v>3433</v>
      </c>
      <c r="C182" s="4" t="n">
        <v>5</v>
      </c>
      <c r="D182" s="4" t="n">
        <v>0</v>
      </c>
      <c r="E182" s="4" t="n">
        <v>0</v>
      </c>
      <c r="F182" s="4" t="s">
        <v>3340</v>
      </c>
      <c r="G182" s="4" t="s">
        <v>3463</v>
      </c>
      <c r="H182" s="4" t="s">
        <v>3373</v>
      </c>
      <c r="I182" s="4"/>
    </row>
    <row r="183" customFormat="false" ht="15" hidden="false" customHeight="false" outlineLevel="0" collapsed="false">
      <c r="A183" s="4" t="s">
        <v>3531</v>
      </c>
      <c r="B183" s="4" t="s">
        <v>3433</v>
      </c>
      <c r="C183" s="4" t="n">
        <v>0</v>
      </c>
      <c r="D183" s="4" t="n">
        <v>0</v>
      </c>
      <c r="E183" s="4" t="n">
        <v>0</v>
      </c>
      <c r="F183" s="4" t="s">
        <v>3362</v>
      </c>
      <c r="G183" s="4" t="s">
        <v>3061</v>
      </c>
      <c r="H183" s="4" t="s">
        <v>3375</v>
      </c>
      <c r="I183" s="4"/>
    </row>
    <row r="184" customFormat="false" ht="15" hidden="false" customHeight="false" outlineLevel="0" collapsed="false">
      <c r="A184" s="4" t="s">
        <v>3532</v>
      </c>
      <c r="B184" s="4" t="s">
        <v>3433</v>
      </c>
      <c r="C184" s="4" t="n">
        <v>3</v>
      </c>
      <c r="D184" s="4" t="n">
        <v>0</v>
      </c>
      <c r="E184" s="4" t="n">
        <v>0</v>
      </c>
      <c r="F184" s="4" t="s">
        <v>3210</v>
      </c>
      <c r="G184" s="4" t="s">
        <v>3533</v>
      </c>
      <c r="H184" s="4"/>
      <c r="I184" s="4"/>
    </row>
    <row r="185" customFormat="false" ht="15" hidden="false" customHeight="false" outlineLevel="0" collapsed="false">
      <c r="A185" s="4" t="s">
        <v>3534</v>
      </c>
      <c r="B185" s="4" t="s">
        <v>3535</v>
      </c>
      <c r="C185" s="4" t="n">
        <v>5</v>
      </c>
      <c r="D185" s="4" t="n">
        <v>0</v>
      </c>
      <c r="E185" s="4" t="n">
        <v>0</v>
      </c>
      <c r="F185" s="4" t="s">
        <v>3221</v>
      </c>
      <c r="G185" s="4" t="s">
        <v>3061</v>
      </c>
      <c r="H185" s="4" t="s">
        <v>3207</v>
      </c>
      <c r="I185" s="4"/>
    </row>
    <row r="186" customFormat="false" ht="15" hidden="false" customHeight="false" outlineLevel="0" collapsed="false">
      <c r="A186" s="4" t="s">
        <v>3536</v>
      </c>
      <c r="B186" s="4" t="s">
        <v>3535</v>
      </c>
      <c r="C186" s="4" t="n">
        <v>0</v>
      </c>
      <c r="D186" s="4" t="n">
        <v>0</v>
      </c>
      <c r="E186" s="4" t="n">
        <v>0</v>
      </c>
      <c r="F186" s="4" t="s">
        <v>3441</v>
      </c>
      <c r="G186" s="4" t="s">
        <v>3217</v>
      </c>
      <c r="H186" s="4" t="s">
        <v>3218</v>
      </c>
      <c r="I186" s="4" t="s">
        <v>3537</v>
      </c>
    </row>
    <row r="187" customFormat="false" ht="15" hidden="false" customHeight="false" outlineLevel="0" collapsed="false">
      <c r="A187" s="4" t="s">
        <v>3538</v>
      </c>
      <c r="B187" s="4" t="s">
        <v>3535</v>
      </c>
      <c r="C187" s="4" t="n">
        <v>3</v>
      </c>
      <c r="D187" s="4" t="n">
        <v>0</v>
      </c>
      <c r="E187" s="4" t="n">
        <v>0</v>
      </c>
      <c r="F187" s="4" t="s">
        <v>3230</v>
      </c>
      <c r="G187" s="4"/>
      <c r="H187" s="4" t="s">
        <v>3224</v>
      </c>
      <c r="I187" s="4"/>
    </row>
    <row r="188" customFormat="false" ht="15" hidden="false" customHeight="false" outlineLevel="0" collapsed="false">
      <c r="A188" s="4" t="s">
        <v>3539</v>
      </c>
      <c r="B188" s="4" t="s">
        <v>3535</v>
      </c>
      <c r="C188" s="4" t="n">
        <v>0</v>
      </c>
      <c r="D188" s="4" t="n">
        <v>0</v>
      </c>
      <c r="E188" s="4" t="n">
        <v>0</v>
      </c>
      <c r="F188" s="4" t="s">
        <v>3210</v>
      </c>
      <c r="G188" s="4"/>
      <c r="H188" s="4" t="s">
        <v>3226</v>
      </c>
      <c r="I188" s="4"/>
    </row>
    <row r="189" customFormat="false" ht="15" hidden="false" customHeight="false" outlineLevel="0" collapsed="false">
      <c r="A189" s="4" t="s">
        <v>3540</v>
      </c>
      <c r="B189" s="4" t="s">
        <v>3535</v>
      </c>
      <c r="C189" s="4" t="n">
        <v>3</v>
      </c>
      <c r="D189" s="4" t="n">
        <v>0</v>
      </c>
      <c r="E189" s="4" t="n">
        <v>0</v>
      </c>
      <c r="F189" s="4" t="s">
        <v>3210</v>
      </c>
      <c r="G189" s="4" t="s">
        <v>3046</v>
      </c>
      <c r="H189" s="4" t="s">
        <v>3237</v>
      </c>
      <c r="I189" s="4"/>
    </row>
    <row r="190" customFormat="false" ht="15" hidden="false" customHeight="false" outlineLevel="0" collapsed="false">
      <c r="A190" s="4" t="s">
        <v>3541</v>
      </c>
      <c r="B190" s="4" t="s">
        <v>3535</v>
      </c>
      <c r="C190" s="4" t="n">
        <v>3</v>
      </c>
      <c r="D190" s="4" t="n">
        <v>0</v>
      </c>
      <c r="E190" s="4" t="n">
        <v>0</v>
      </c>
      <c r="F190" s="4" t="s">
        <v>3210</v>
      </c>
      <c r="G190" s="4" t="s">
        <v>3046</v>
      </c>
      <c r="H190" s="4" t="s">
        <v>3239</v>
      </c>
      <c r="I190" s="4" t="s">
        <v>3542</v>
      </c>
    </row>
    <row r="191" customFormat="false" ht="15" hidden="false" customHeight="false" outlineLevel="0" collapsed="false">
      <c r="A191" s="4" t="s">
        <v>3543</v>
      </c>
      <c r="B191" s="4" t="s">
        <v>3535</v>
      </c>
      <c r="C191" s="4" t="n">
        <v>0</v>
      </c>
      <c r="D191" s="4" t="n">
        <v>0</v>
      </c>
      <c r="E191" s="4" t="n">
        <v>0</v>
      </c>
      <c r="F191" s="4" t="s">
        <v>3210</v>
      </c>
      <c r="G191" s="4"/>
      <c r="H191" s="4" t="s">
        <v>3244</v>
      </c>
      <c r="I191" s="4"/>
    </row>
    <row r="192" customFormat="false" ht="15" hidden="false" customHeight="false" outlineLevel="0" collapsed="false">
      <c r="A192" s="4" t="s">
        <v>3544</v>
      </c>
      <c r="B192" s="4" t="s">
        <v>3535</v>
      </c>
      <c r="C192" s="4" t="n">
        <v>9</v>
      </c>
      <c r="D192" s="4" t="n">
        <v>0</v>
      </c>
      <c r="E192" s="4" t="n">
        <v>0</v>
      </c>
      <c r="F192" s="4" t="s">
        <v>3362</v>
      </c>
      <c r="G192" s="4"/>
      <c r="H192" s="4" t="s">
        <v>3453</v>
      </c>
      <c r="I192" s="4" t="s">
        <v>3545</v>
      </c>
    </row>
    <row r="193" customFormat="false" ht="15" hidden="false" customHeight="false" outlineLevel="0" collapsed="false">
      <c r="A193" s="4" t="s">
        <v>3546</v>
      </c>
      <c r="B193" s="4" t="s">
        <v>3535</v>
      </c>
      <c r="C193" s="4" t="n">
        <v>0</v>
      </c>
      <c r="D193" s="4" t="n">
        <v>0</v>
      </c>
      <c r="E193" s="4" t="n">
        <v>0</v>
      </c>
      <c r="F193" s="4" t="s">
        <v>3221</v>
      </c>
      <c r="G193" s="4" t="s">
        <v>3061</v>
      </c>
      <c r="H193" s="4"/>
      <c r="I193" s="4" t="s">
        <v>3547</v>
      </c>
    </row>
    <row r="194" customFormat="false" ht="15" hidden="false" customHeight="false" outlineLevel="0" collapsed="false">
      <c r="A194" s="4" t="s">
        <v>3548</v>
      </c>
      <c r="B194" s="4" t="s">
        <v>3535</v>
      </c>
      <c r="C194" s="4" t="n">
        <v>4</v>
      </c>
      <c r="D194" s="4" t="n">
        <v>0</v>
      </c>
      <c r="E194" s="4" t="n">
        <v>0</v>
      </c>
      <c r="F194" s="4" t="s">
        <v>3210</v>
      </c>
      <c r="G194" s="4" t="s">
        <v>3046</v>
      </c>
      <c r="H194" s="4" t="s">
        <v>3248</v>
      </c>
      <c r="I194" s="4"/>
    </row>
    <row r="195" customFormat="false" ht="15" hidden="false" customHeight="false" outlineLevel="0" collapsed="false">
      <c r="A195" s="4" t="s">
        <v>3549</v>
      </c>
      <c r="B195" s="4" t="s">
        <v>3535</v>
      </c>
      <c r="C195" s="4" t="n">
        <v>0</v>
      </c>
      <c r="D195" s="4" t="n">
        <v>0</v>
      </c>
      <c r="E195" s="4" t="n">
        <v>0</v>
      </c>
      <c r="F195" s="4" t="s">
        <v>3306</v>
      </c>
      <c r="G195" s="4"/>
      <c r="H195" s="4"/>
      <c r="I195" s="4" t="s">
        <v>3550</v>
      </c>
    </row>
    <row r="196" customFormat="false" ht="15" hidden="false" customHeight="false" outlineLevel="0" collapsed="false">
      <c r="A196" s="4" t="s">
        <v>3551</v>
      </c>
      <c r="B196" s="4" t="s">
        <v>3535</v>
      </c>
      <c r="C196" s="4" t="n">
        <v>0</v>
      </c>
      <c r="D196" s="4" t="n">
        <v>0</v>
      </c>
      <c r="E196" s="4" t="n">
        <v>0</v>
      </c>
      <c r="F196" s="4" t="s">
        <v>3230</v>
      </c>
      <c r="G196" s="4"/>
      <c r="H196" s="4" t="s">
        <v>3260</v>
      </c>
      <c r="I196" s="4" t="s">
        <v>866</v>
      </c>
    </row>
    <row r="197" customFormat="false" ht="15" hidden="false" customHeight="false" outlineLevel="0" collapsed="false">
      <c r="A197" s="4" t="s">
        <v>3552</v>
      </c>
      <c r="B197" s="4" t="s">
        <v>3535</v>
      </c>
      <c r="C197" s="4" t="n">
        <v>4</v>
      </c>
      <c r="D197" s="4" t="n">
        <v>0</v>
      </c>
      <c r="E197" s="4" t="n">
        <v>0</v>
      </c>
      <c r="F197" s="4"/>
      <c r="G197" s="4" t="s">
        <v>3046</v>
      </c>
      <c r="H197" s="4" t="s">
        <v>3268</v>
      </c>
      <c r="I197" s="4"/>
    </row>
    <row r="198" customFormat="false" ht="15" hidden="false" customHeight="false" outlineLevel="0" collapsed="false">
      <c r="A198" s="4" t="s">
        <v>3553</v>
      </c>
      <c r="B198" s="4" t="s">
        <v>3535</v>
      </c>
      <c r="C198" s="4" t="n">
        <v>3</v>
      </c>
      <c r="D198" s="4" t="n">
        <v>0</v>
      </c>
      <c r="E198" s="4" t="n">
        <v>0</v>
      </c>
      <c r="F198" s="4" t="s">
        <v>3306</v>
      </c>
      <c r="G198" s="4" t="s">
        <v>3061</v>
      </c>
      <c r="H198" s="4" t="s">
        <v>3271</v>
      </c>
      <c r="I198" s="4"/>
    </row>
    <row r="199" customFormat="false" ht="15" hidden="false" customHeight="false" outlineLevel="0" collapsed="false">
      <c r="A199" s="4" t="s">
        <v>3554</v>
      </c>
      <c r="B199" s="4" t="s">
        <v>3535</v>
      </c>
      <c r="C199" s="4" t="n">
        <v>3</v>
      </c>
      <c r="D199" s="4" t="n">
        <v>0</v>
      </c>
      <c r="E199" s="4" t="n">
        <v>0</v>
      </c>
      <c r="F199" s="4" t="s">
        <v>3210</v>
      </c>
      <c r="G199" s="4" t="s">
        <v>3046</v>
      </c>
      <c r="H199" s="4" t="s">
        <v>3274</v>
      </c>
      <c r="I199" s="4"/>
    </row>
    <row r="200" customFormat="false" ht="15" hidden="false" customHeight="false" outlineLevel="0" collapsed="false">
      <c r="A200" s="4" t="s">
        <v>3555</v>
      </c>
      <c r="B200" s="4" t="s">
        <v>3535</v>
      </c>
      <c r="C200" s="4" t="n">
        <v>3</v>
      </c>
      <c r="D200" s="4" t="n">
        <v>0</v>
      </c>
      <c r="E200" s="4" t="n">
        <v>2</v>
      </c>
      <c r="F200" s="4" t="s">
        <v>3230</v>
      </c>
      <c r="G200" s="4"/>
      <c r="H200" s="4" t="s">
        <v>3277</v>
      </c>
      <c r="I200" s="4"/>
    </row>
    <row r="201" customFormat="false" ht="15" hidden="false" customHeight="false" outlineLevel="0" collapsed="false">
      <c r="A201" s="4" t="s">
        <v>3556</v>
      </c>
      <c r="B201" s="4" t="s">
        <v>3535</v>
      </c>
      <c r="C201" s="4" t="n">
        <v>0</v>
      </c>
      <c r="D201" s="4" t="n">
        <v>0</v>
      </c>
      <c r="E201" s="4" t="n">
        <v>0</v>
      </c>
      <c r="F201" s="4" t="s">
        <v>3210</v>
      </c>
      <c r="G201" s="4" t="s">
        <v>3090</v>
      </c>
      <c r="H201" s="4" t="s">
        <v>3234</v>
      </c>
      <c r="I201" s="4" t="s">
        <v>3557</v>
      </c>
    </row>
    <row r="202" customFormat="false" ht="15" hidden="false" customHeight="false" outlineLevel="0" collapsed="false">
      <c r="A202" s="4" t="s">
        <v>3558</v>
      </c>
      <c r="B202" s="4" t="s">
        <v>3535</v>
      </c>
      <c r="C202" s="4" t="n">
        <v>5</v>
      </c>
      <c r="D202" s="4" t="n">
        <v>0</v>
      </c>
      <c r="E202" s="4" t="n">
        <v>0</v>
      </c>
      <c r="F202" s="4" t="s">
        <v>3230</v>
      </c>
      <c r="G202" s="4" t="s">
        <v>3056</v>
      </c>
      <c r="H202" s="4" t="s">
        <v>912</v>
      </c>
      <c r="I202" s="4"/>
    </row>
    <row r="203" customFormat="false" ht="15" hidden="false" customHeight="false" outlineLevel="0" collapsed="false">
      <c r="A203" s="4" t="s">
        <v>3559</v>
      </c>
      <c r="B203" s="4" t="s">
        <v>3535</v>
      </c>
      <c r="C203" s="4" t="n">
        <v>4</v>
      </c>
      <c r="D203" s="4" t="n">
        <v>0</v>
      </c>
      <c r="E203" s="4" t="n">
        <v>0</v>
      </c>
      <c r="F203" s="4" t="s">
        <v>3210</v>
      </c>
      <c r="G203" s="4" t="s">
        <v>3046</v>
      </c>
      <c r="H203" s="4" t="s">
        <v>3282</v>
      </c>
      <c r="I203" s="4"/>
    </row>
    <row r="204" customFormat="false" ht="15" hidden="false" customHeight="false" outlineLevel="0" collapsed="false">
      <c r="A204" s="4" t="s">
        <v>3560</v>
      </c>
      <c r="B204" s="4" t="s">
        <v>3535</v>
      </c>
      <c r="C204" s="4" t="n">
        <v>5</v>
      </c>
      <c r="D204" s="4" t="n">
        <v>0</v>
      </c>
      <c r="E204" s="4" t="n">
        <v>0</v>
      </c>
      <c r="F204" s="4"/>
      <c r="G204" s="4" t="s">
        <v>3046</v>
      </c>
      <c r="H204" s="4" t="s">
        <v>3287</v>
      </c>
      <c r="I204" s="4"/>
    </row>
    <row r="205" customFormat="false" ht="15" hidden="false" customHeight="false" outlineLevel="0" collapsed="false">
      <c r="A205" s="4" t="s">
        <v>3561</v>
      </c>
      <c r="B205" s="4" t="s">
        <v>3535</v>
      </c>
      <c r="C205" s="4" t="n">
        <v>0</v>
      </c>
      <c r="D205" s="4" t="n">
        <v>0</v>
      </c>
      <c r="E205" s="4" t="n">
        <v>0</v>
      </c>
      <c r="F205" s="4" t="s">
        <v>3210</v>
      </c>
      <c r="G205" s="4"/>
      <c r="H205" s="4" t="s">
        <v>3293</v>
      </c>
      <c r="I205" s="4" t="s">
        <v>3562</v>
      </c>
    </row>
    <row r="206" customFormat="false" ht="15" hidden="false" customHeight="false" outlineLevel="0" collapsed="false">
      <c r="A206" s="4" t="s">
        <v>3563</v>
      </c>
      <c r="B206" s="4" t="s">
        <v>3535</v>
      </c>
      <c r="C206" s="4" t="n">
        <v>5</v>
      </c>
      <c r="D206" s="4" t="n">
        <v>0</v>
      </c>
      <c r="E206" s="4" t="n">
        <v>0</v>
      </c>
      <c r="F206" s="4" t="s">
        <v>3221</v>
      </c>
      <c r="G206" s="4" t="s">
        <v>3061</v>
      </c>
      <c r="H206" s="4" t="s">
        <v>3298</v>
      </c>
      <c r="I206" s="4"/>
    </row>
    <row r="207" customFormat="false" ht="15" hidden="false" customHeight="false" outlineLevel="0" collapsed="false">
      <c r="A207" s="4" t="s">
        <v>3564</v>
      </c>
      <c r="B207" s="4" t="s">
        <v>3535</v>
      </c>
      <c r="C207" s="4" t="n">
        <v>0</v>
      </c>
      <c r="D207" s="4" t="n">
        <v>0</v>
      </c>
      <c r="E207" s="4" t="n">
        <v>0</v>
      </c>
      <c r="F207" s="4" t="s">
        <v>3210</v>
      </c>
      <c r="G207" s="4"/>
      <c r="H207" s="4" t="s">
        <v>3301</v>
      </c>
      <c r="I207" s="4"/>
    </row>
    <row r="208" customFormat="false" ht="15" hidden="false" customHeight="false" outlineLevel="0" collapsed="false">
      <c r="A208" s="4" t="s">
        <v>3565</v>
      </c>
      <c r="B208" s="4" t="s">
        <v>3535</v>
      </c>
      <c r="C208" s="4" t="n">
        <v>4</v>
      </c>
      <c r="D208" s="4" t="n">
        <v>0</v>
      </c>
      <c r="E208" s="4" t="n">
        <v>0</v>
      </c>
      <c r="F208" s="4" t="s">
        <v>3407</v>
      </c>
      <c r="G208" s="4"/>
      <c r="H208" s="4" t="s">
        <v>3307</v>
      </c>
      <c r="I208" s="4"/>
    </row>
    <row r="209" customFormat="false" ht="15" hidden="false" customHeight="false" outlineLevel="0" collapsed="false">
      <c r="A209" s="4" t="s">
        <v>3566</v>
      </c>
      <c r="B209" s="4" t="s">
        <v>3535</v>
      </c>
      <c r="C209" s="4" t="n">
        <v>3</v>
      </c>
      <c r="D209" s="4" t="n">
        <v>0</v>
      </c>
      <c r="E209" s="4" t="n">
        <v>0</v>
      </c>
      <c r="F209" s="4" t="s">
        <v>3210</v>
      </c>
      <c r="G209" s="4" t="s">
        <v>3046</v>
      </c>
      <c r="H209" s="4" t="s">
        <v>3310</v>
      </c>
      <c r="I209" s="4"/>
    </row>
    <row r="210" customFormat="false" ht="15" hidden="false" customHeight="false" outlineLevel="0" collapsed="false">
      <c r="A210" s="4" t="s">
        <v>3567</v>
      </c>
      <c r="B210" s="4" t="s">
        <v>3535</v>
      </c>
      <c r="C210" s="4" t="n">
        <v>3</v>
      </c>
      <c r="D210" s="4" t="n">
        <v>0</v>
      </c>
      <c r="E210" s="4" t="n">
        <v>0</v>
      </c>
      <c r="F210" s="4" t="s">
        <v>3210</v>
      </c>
      <c r="G210" s="4" t="s">
        <v>3035</v>
      </c>
      <c r="H210" s="4"/>
      <c r="I210" s="4" t="s">
        <v>3568</v>
      </c>
    </row>
    <row r="211" customFormat="false" ht="15" hidden="false" customHeight="false" outlineLevel="0" collapsed="false">
      <c r="A211" s="4" t="s">
        <v>3569</v>
      </c>
      <c r="B211" s="4" t="s">
        <v>3535</v>
      </c>
      <c r="C211" s="4" t="n">
        <v>2</v>
      </c>
      <c r="D211" s="4" t="n">
        <v>0</v>
      </c>
      <c r="E211" s="4" t="n">
        <v>0</v>
      </c>
      <c r="F211" s="4" t="s">
        <v>3221</v>
      </c>
      <c r="G211" s="4" t="s">
        <v>3061</v>
      </c>
      <c r="H211" s="4" t="s">
        <v>3315</v>
      </c>
      <c r="I211" s="4" t="s">
        <v>1086</v>
      </c>
    </row>
    <row r="212" customFormat="false" ht="15" hidden="false" customHeight="false" outlineLevel="0" collapsed="false">
      <c r="A212" s="4" t="s">
        <v>3570</v>
      </c>
      <c r="B212" s="4" t="s">
        <v>3535</v>
      </c>
      <c r="C212" s="4" t="n">
        <v>3</v>
      </c>
      <c r="D212" s="4" t="n">
        <v>0</v>
      </c>
      <c r="E212" s="4" t="n">
        <v>0</v>
      </c>
      <c r="F212" s="4" t="s">
        <v>3230</v>
      </c>
      <c r="G212" s="4"/>
      <c r="H212" s="4" t="s">
        <v>3323</v>
      </c>
      <c r="I212" s="4"/>
    </row>
    <row r="213" customFormat="false" ht="15" hidden="false" customHeight="false" outlineLevel="0" collapsed="false">
      <c r="A213" s="4" t="s">
        <v>3571</v>
      </c>
      <c r="B213" s="4" t="s">
        <v>3535</v>
      </c>
      <c r="C213" s="4" t="n">
        <v>0</v>
      </c>
      <c r="D213" s="4" t="n">
        <v>0</v>
      </c>
      <c r="E213" s="4" t="n">
        <v>0</v>
      </c>
      <c r="F213" s="4" t="s">
        <v>3221</v>
      </c>
      <c r="G213" s="4" t="s">
        <v>3046</v>
      </c>
      <c r="H213" s="4"/>
      <c r="I213" s="4" t="s">
        <v>3572</v>
      </c>
    </row>
    <row r="214" customFormat="false" ht="15" hidden="false" customHeight="false" outlineLevel="0" collapsed="false">
      <c r="A214" s="4" t="s">
        <v>3573</v>
      </c>
      <c r="B214" s="4" t="s">
        <v>3535</v>
      </c>
      <c r="C214" s="4" t="n">
        <v>0</v>
      </c>
      <c r="D214" s="4" t="n">
        <v>0</v>
      </c>
      <c r="E214" s="4" t="n">
        <v>0</v>
      </c>
      <c r="F214" s="4" t="s">
        <v>3221</v>
      </c>
      <c r="G214" s="4" t="s">
        <v>3046</v>
      </c>
      <c r="H214" s="4" t="s">
        <v>3312</v>
      </c>
      <c r="I214" s="4"/>
    </row>
    <row r="215" customFormat="false" ht="15" hidden="false" customHeight="false" outlineLevel="0" collapsed="false">
      <c r="A215" s="4" t="s">
        <v>3574</v>
      </c>
      <c r="B215" s="4" t="s">
        <v>3535</v>
      </c>
      <c r="C215" s="4" t="n">
        <v>0</v>
      </c>
      <c r="D215" s="4" t="n">
        <v>0</v>
      </c>
      <c r="E215" s="4" t="n">
        <v>0</v>
      </c>
      <c r="F215" s="4" t="s">
        <v>3230</v>
      </c>
      <c r="G215" s="4"/>
      <c r="H215" s="4" t="s">
        <v>3332</v>
      </c>
      <c r="I215" s="4" t="s">
        <v>3141</v>
      </c>
    </row>
    <row r="216" customFormat="false" ht="15" hidden="false" customHeight="false" outlineLevel="0" collapsed="false">
      <c r="A216" s="4" t="s">
        <v>3575</v>
      </c>
      <c r="B216" s="4" t="s">
        <v>3535</v>
      </c>
      <c r="C216" s="4" t="n">
        <v>3</v>
      </c>
      <c r="D216" s="4" t="n">
        <v>0</v>
      </c>
      <c r="E216" s="4" t="n">
        <v>0</v>
      </c>
      <c r="F216" s="4"/>
      <c r="G216" s="4" t="s">
        <v>3046</v>
      </c>
      <c r="H216" s="4" t="s">
        <v>3334</v>
      </c>
      <c r="I216" s="4"/>
    </row>
    <row r="217" customFormat="false" ht="15" hidden="false" customHeight="false" outlineLevel="0" collapsed="false">
      <c r="A217" s="4" t="s">
        <v>3576</v>
      </c>
      <c r="B217" s="4" t="s">
        <v>3535</v>
      </c>
      <c r="C217" s="4" t="n">
        <v>3</v>
      </c>
      <c r="D217" s="4" t="n">
        <v>0</v>
      </c>
      <c r="E217" s="4" t="n">
        <v>0</v>
      </c>
      <c r="F217" s="4" t="s">
        <v>3306</v>
      </c>
      <c r="G217" s="4" t="s">
        <v>3217</v>
      </c>
      <c r="H217" s="4" t="s">
        <v>3337</v>
      </c>
      <c r="I217" s="4" t="s">
        <v>3577</v>
      </c>
    </row>
    <row r="218" customFormat="false" ht="15" hidden="false" customHeight="false" outlineLevel="0" collapsed="false">
      <c r="A218" s="4" t="s">
        <v>3578</v>
      </c>
      <c r="B218" s="4" t="s">
        <v>3535</v>
      </c>
      <c r="C218" s="4" t="n">
        <v>0</v>
      </c>
      <c r="D218" s="4" t="n">
        <v>0</v>
      </c>
      <c r="E218" s="4" t="n">
        <v>0</v>
      </c>
      <c r="F218" s="4" t="s">
        <v>3340</v>
      </c>
      <c r="G218" s="4"/>
      <c r="H218" s="4" t="s">
        <v>3341</v>
      </c>
      <c r="I218" s="4"/>
    </row>
    <row r="219" customFormat="false" ht="15" hidden="false" customHeight="false" outlineLevel="0" collapsed="false">
      <c r="A219" s="4" t="s">
        <v>3579</v>
      </c>
      <c r="B219" s="4" t="s">
        <v>3535</v>
      </c>
      <c r="C219" s="4" t="n">
        <v>0</v>
      </c>
      <c r="D219" s="4" t="n">
        <v>0</v>
      </c>
      <c r="E219" s="4" t="n">
        <v>0</v>
      </c>
      <c r="F219" s="4" t="s">
        <v>3306</v>
      </c>
      <c r="G219" s="4" t="s">
        <v>3061</v>
      </c>
      <c r="H219" s="4" t="s">
        <v>3348</v>
      </c>
      <c r="I219" s="4"/>
    </row>
    <row r="220" customFormat="false" ht="15" hidden="false" customHeight="false" outlineLevel="0" collapsed="false">
      <c r="A220" s="4" t="s">
        <v>3580</v>
      </c>
      <c r="B220" s="4" t="s">
        <v>3535</v>
      </c>
      <c r="C220" s="4" t="n">
        <v>3</v>
      </c>
      <c r="D220" s="4" t="n">
        <v>0</v>
      </c>
      <c r="E220" s="4" t="n">
        <v>0</v>
      </c>
      <c r="F220" s="4" t="s">
        <v>3221</v>
      </c>
      <c r="G220" s="4" t="s">
        <v>3046</v>
      </c>
      <c r="H220" s="4" t="s">
        <v>3350</v>
      </c>
      <c r="I220" s="4"/>
    </row>
    <row r="221" customFormat="false" ht="15" hidden="false" customHeight="false" outlineLevel="0" collapsed="false">
      <c r="A221" s="4" t="s">
        <v>3581</v>
      </c>
      <c r="B221" s="4" t="s">
        <v>3535</v>
      </c>
      <c r="C221" s="4" t="n">
        <v>0</v>
      </c>
      <c r="D221" s="4" t="n">
        <v>0</v>
      </c>
      <c r="E221" s="4" t="n">
        <v>0</v>
      </c>
      <c r="F221" s="4" t="s">
        <v>3441</v>
      </c>
      <c r="G221" s="4" t="s">
        <v>3355</v>
      </c>
      <c r="H221" s="4" t="s">
        <v>3356</v>
      </c>
      <c r="I221" s="4" t="s">
        <v>3582</v>
      </c>
    </row>
    <row r="222" customFormat="false" ht="15" hidden="false" customHeight="false" outlineLevel="0" collapsed="false">
      <c r="A222" s="4" t="s">
        <v>3583</v>
      </c>
      <c r="B222" s="4" t="s">
        <v>3535</v>
      </c>
      <c r="C222" s="4" t="n">
        <v>5</v>
      </c>
      <c r="D222" s="4" t="n">
        <v>0</v>
      </c>
      <c r="E222" s="4" t="n">
        <v>0</v>
      </c>
      <c r="F222" s="4" t="s">
        <v>3221</v>
      </c>
      <c r="G222" s="4" t="s">
        <v>3061</v>
      </c>
      <c r="H222" s="4" t="s">
        <v>3359</v>
      </c>
      <c r="I222" s="4"/>
    </row>
    <row r="223" customFormat="false" ht="15" hidden="false" customHeight="false" outlineLevel="0" collapsed="false">
      <c r="A223" s="4" t="s">
        <v>3584</v>
      </c>
      <c r="B223" s="4" t="s">
        <v>3535</v>
      </c>
      <c r="C223" s="4" t="n">
        <v>3</v>
      </c>
      <c r="D223" s="4" t="n">
        <v>0</v>
      </c>
      <c r="E223" s="4" t="n">
        <v>0</v>
      </c>
      <c r="F223" s="4" t="s">
        <v>3230</v>
      </c>
      <c r="G223" s="4"/>
      <c r="H223" s="4" t="s">
        <v>3367</v>
      </c>
      <c r="I223" s="4" t="s">
        <v>1647</v>
      </c>
    </row>
    <row r="224" customFormat="false" ht="15" hidden="false" customHeight="false" outlineLevel="0" collapsed="false">
      <c r="A224" s="4" t="s">
        <v>3585</v>
      </c>
      <c r="B224" s="4" t="s">
        <v>3535</v>
      </c>
      <c r="C224" s="4" t="n">
        <v>3</v>
      </c>
      <c r="D224" s="4" t="n">
        <v>0</v>
      </c>
      <c r="E224" s="4" t="n">
        <v>0</v>
      </c>
      <c r="F224" s="4" t="s">
        <v>3230</v>
      </c>
      <c r="G224" s="4"/>
      <c r="H224" s="4" t="s">
        <v>3370</v>
      </c>
      <c r="I224" s="4" t="s">
        <v>1972</v>
      </c>
    </row>
    <row r="225" customFormat="false" ht="15" hidden="false" customHeight="false" outlineLevel="0" collapsed="false">
      <c r="A225" s="4" t="s">
        <v>3586</v>
      </c>
      <c r="B225" s="4" t="s">
        <v>3535</v>
      </c>
      <c r="C225" s="4" t="n">
        <v>5</v>
      </c>
      <c r="D225" s="4" t="n">
        <v>0</v>
      </c>
      <c r="E225" s="4" t="n">
        <v>0</v>
      </c>
      <c r="F225" s="4" t="s">
        <v>3340</v>
      </c>
      <c r="G225" s="4" t="s">
        <v>3035</v>
      </c>
      <c r="H225" s="4" t="s">
        <v>3431</v>
      </c>
      <c r="I225" s="4"/>
    </row>
    <row r="226" customFormat="false" ht="15" hidden="false" customHeight="false" outlineLevel="0" collapsed="false">
      <c r="A226" s="4" t="s">
        <v>3587</v>
      </c>
      <c r="B226" s="4" t="s">
        <v>3535</v>
      </c>
      <c r="C226" s="4" t="n">
        <v>5</v>
      </c>
      <c r="D226" s="4" t="n">
        <v>0</v>
      </c>
      <c r="E226" s="4" t="n">
        <v>0</v>
      </c>
      <c r="F226" s="4" t="s">
        <v>3230</v>
      </c>
      <c r="G226" s="4" t="s">
        <v>3061</v>
      </c>
      <c r="H226" s="4" t="s">
        <v>3375</v>
      </c>
      <c r="I226" s="4"/>
    </row>
    <row r="227" customFormat="false" ht="15" hidden="false" customHeight="false" outlineLevel="0" collapsed="false">
      <c r="A227" s="4" t="s">
        <v>3588</v>
      </c>
      <c r="B227" s="4" t="s">
        <v>3535</v>
      </c>
      <c r="C227" s="4" t="n">
        <v>3</v>
      </c>
      <c r="D227" s="4" t="n">
        <v>0</v>
      </c>
      <c r="E227" s="4" t="n">
        <v>0</v>
      </c>
      <c r="F227" s="4" t="s">
        <v>3210</v>
      </c>
      <c r="G227" s="4" t="s">
        <v>3046</v>
      </c>
      <c r="H227" s="4" t="s">
        <v>3377</v>
      </c>
      <c r="I227" s="4"/>
    </row>
    <row r="228" customFormat="false" ht="15" hidden="false" customHeight="false" outlineLevel="0" collapsed="false">
      <c r="A228" s="4" t="s">
        <v>3589</v>
      </c>
      <c r="B228" s="4" t="s">
        <v>3535</v>
      </c>
      <c r="C228" s="4" t="n">
        <v>0</v>
      </c>
      <c r="D228" s="4" t="n">
        <v>0</v>
      </c>
      <c r="E228" s="4" t="n">
        <v>0</v>
      </c>
      <c r="F228" s="4" t="s">
        <v>3230</v>
      </c>
      <c r="G228" s="4"/>
      <c r="H228" s="4" t="s">
        <v>3380</v>
      </c>
      <c r="I228" s="4" t="s">
        <v>3590</v>
      </c>
    </row>
    <row r="229" customFormat="false" ht="15" hidden="false" customHeight="false" outlineLevel="0" collapsed="false">
      <c r="A229" s="4" t="s">
        <v>3591</v>
      </c>
      <c r="B229" s="4" t="s">
        <v>3592</v>
      </c>
      <c r="C229" s="4" t="n">
        <v>0</v>
      </c>
      <c r="D229" s="4" t="n">
        <v>0</v>
      </c>
      <c r="E229" s="4" t="n">
        <v>0</v>
      </c>
      <c r="F229" s="4" t="s">
        <v>3362</v>
      </c>
      <c r="G229" s="4"/>
      <c r="H229" s="4"/>
      <c r="I229" s="4"/>
    </row>
    <row r="230" customFormat="false" ht="15" hidden="false" customHeight="false" outlineLevel="0" collapsed="false">
      <c r="A230" s="4" t="s">
        <v>3593</v>
      </c>
      <c r="B230" s="4" t="s">
        <v>3592</v>
      </c>
      <c r="C230" s="4" t="n">
        <v>0</v>
      </c>
      <c r="D230" s="4" t="n">
        <v>0</v>
      </c>
      <c r="E230" s="4" t="n">
        <v>0</v>
      </c>
      <c r="F230" s="4" t="s">
        <v>3306</v>
      </c>
      <c r="G230" s="4"/>
      <c r="H230" s="4"/>
      <c r="I230" s="4"/>
    </row>
    <row r="231" customFormat="false" ht="15" hidden="false" customHeight="false" outlineLevel="0" collapsed="false">
      <c r="A231" s="4" t="s">
        <v>3594</v>
      </c>
      <c r="B231" s="4" t="s">
        <v>3592</v>
      </c>
      <c r="C231" s="4" t="n">
        <v>0</v>
      </c>
      <c r="D231" s="4" t="n">
        <v>0</v>
      </c>
      <c r="E231" s="4" t="n">
        <v>0</v>
      </c>
      <c r="F231" s="4" t="s">
        <v>3306</v>
      </c>
      <c r="G231" s="4"/>
      <c r="H231" s="4"/>
      <c r="I231" s="4"/>
    </row>
    <row r="232" customFormat="false" ht="15" hidden="false" customHeight="false" outlineLevel="0" collapsed="false">
      <c r="A232" s="4" t="s">
        <v>3595</v>
      </c>
      <c r="B232" s="4" t="s">
        <v>3592</v>
      </c>
      <c r="C232" s="4" t="n">
        <v>0</v>
      </c>
      <c r="D232" s="4" t="n">
        <v>2</v>
      </c>
      <c r="E232" s="4" t="n">
        <v>0</v>
      </c>
      <c r="F232" s="4"/>
      <c r="G232" s="4"/>
      <c r="H232" s="4"/>
      <c r="I232" s="4"/>
    </row>
    <row r="233" customFormat="false" ht="15" hidden="false" customHeight="false" outlineLevel="0" collapsed="false">
      <c r="A233" s="4" t="s">
        <v>3596</v>
      </c>
      <c r="B233" s="4" t="s">
        <v>3592</v>
      </c>
      <c r="C233" s="4" t="n">
        <v>0</v>
      </c>
      <c r="D233" s="4" t="n">
        <v>0</v>
      </c>
      <c r="E233" s="4" t="n">
        <v>0</v>
      </c>
      <c r="F233" s="4" t="s">
        <v>3306</v>
      </c>
      <c r="G233" s="4"/>
      <c r="H233" s="4"/>
      <c r="I233" s="4"/>
    </row>
    <row r="234" customFormat="false" ht="15" hidden="false" customHeight="false" outlineLevel="0" collapsed="false">
      <c r="A234" s="4" t="s">
        <v>3597</v>
      </c>
      <c r="B234" s="4" t="s">
        <v>3592</v>
      </c>
      <c r="C234" s="4" t="n">
        <v>0</v>
      </c>
      <c r="D234" s="4" t="n">
        <v>0</v>
      </c>
      <c r="E234" s="4" t="n">
        <v>0</v>
      </c>
      <c r="F234" s="4" t="s">
        <v>3306</v>
      </c>
      <c r="G234" s="4"/>
      <c r="H234" s="4"/>
      <c r="I234" s="4"/>
    </row>
    <row r="235" customFormat="false" ht="15" hidden="false" customHeight="false" outlineLevel="0" collapsed="false">
      <c r="A235" s="4" t="s">
        <v>3598</v>
      </c>
      <c r="B235" s="4" t="s">
        <v>3592</v>
      </c>
      <c r="C235" s="4" t="n">
        <v>0</v>
      </c>
      <c r="D235" s="4" t="n">
        <v>0</v>
      </c>
      <c r="E235" s="4" t="n">
        <v>0</v>
      </c>
      <c r="F235" s="4" t="s">
        <v>3230</v>
      </c>
      <c r="G235" s="4"/>
      <c r="H235" s="4"/>
      <c r="I235" s="4"/>
    </row>
    <row r="236" customFormat="false" ht="15" hidden="false" customHeight="false" outlineLevel="0" collapsed="false">
      <c r="A236" s="4" t="s">
        <v>3599</v>
      </c>
      <c r="B236" s="4" t="s">
        <v>3592</v>
      </c>
      <c r="C236" s="4" t="n">
        <v>0</v>
      </c>
      <c r="D236" s="4" t="n">
        <v>0</v>
      </c>
      <c r="E236" s="4" t="n">
        <v>0</v>
      </c>
      <c r="F236" s="4" t="s">
        <v>3306</v>
      </c>
      <c r="G236" s="4"/>
      <c r="H236" s="4"/>
      <c r="I236" s="4"/>
    </row>
    <row r="237" customFormat="false" ht="15" hidden="false" customHeight="false" outlineLevel="0" collapsed="false">
      <c r="A237" s="4" t="s">
        <v>3600</v>
      </c>
      <c r="B237" s="4" t="s">
        <v>3592</v>
      </c>
      <c r="C237" s="4" t="n">
        <v>0</v>
      </c>
      <c r="D237" s="4" t="n">
        <v>0</v>
      </c>
      <c r="E237" s="4" t="n">
        <v>0</v>
      </c>
      <c r="F237" s="4" t="s">
        <v>3362</v>
      </c>
      <c r="G237" s="4"/>
      <c r="H237" s="4"/>
      <c r="I237" s="4"/>
    </row>
    <row r="238" customFormat="false" ht="15" hidden="false" customHeight="false" outlineLevel="0" collapsed="false">
      <c r="A238" s="4" t="s">
        <v>3601</v>
      </c>
      <c r="B238" s="4" t="s">
        <v>3592</v>
      </c>
      <c r="C238" s="4" t="n">
        <v>0</v>
      </c>
      <c r="D238" s="4" t="n">
        <v>0</v>
      </c>
      <c r="E238" s="4" t="n">
        <v>0</v>
      </c>
      <c r="F238" s="4" t="s">
        <v>3306</v>
      </c>
      <c r="G238" s="4"/>
      <c r="H238" s="4"/>
      <c r="I238" s="4"/>
    </row>
    <row r="239" customFormat="false" ht="15" hidden="false" customHeight="false" outlineLevel="0" collapsed="false">
      <c r="A239" s="4" t="s">
        <v>3602</v>
      </c>
      <c r="B239" s="4" t="s">
        <v>3592</v>
      </c>
      <c r="C239" s="4" t="n">
        <v>0</v>
      </c>
      <c r="D239" s="4" t="n">
        <v>0</v>
      </c>
      <c r="E239" s="4" t="n">
        <v>0</v>
      </c>
      <c r="F239" s="4" t="s">
        <v>3306</v>
      </c>
      <c r="G239" s="4"/>
      <c r="H239" s="4"/>
      <c r="I239" s="4"/>
    </row>
    <row r="240" customFormat="false" ht="15" hidden="false" customHeight="false" outlineLevel="0" collapsed="false">
      <c r="A240" s="4" t="s">
        <v>3603</v>
      </c>
      <c r="B240" s="4" t="s">
        <v>3592</v>
      </c>
      <c r="C240" s="4" t="n">
        <v>0</v>
      </c>
      <c r="D240" s="4" t="n">
        <v>0</v>
      </c>
      <c r="E240" s="4" t="n">
        <v>0</v>
      </c>
      <c r="F240" s="4" t="s">
        <v>3362</v>
      </c>
      <c r="G240" s="4" t="s">
        <v>3051</v>
      </c>
      <c r="H240" s="4"/>
      <c r="I240" s="4"/>
    </row>
    <row r="241" customFormat="false" ht="15" hidden="false" customHeight="false" outlineLevel="0" collapsed="false">
      <c r="A241" s="4" t="s">
        <v>3604</v>
      </c>
      <c r="B241" s="4" t="s">
        <v>3592</v>
      </c>
      <c r="C241" s="4" t="n">
        <v>0</v>
      </c>
      <c r="D241" s="4" t="n">
        <v>0</v>
      </c>
      <c r="E241" s="4" t="n">
        <v>0</v>
      </c>
      <c r="F241" s="4" t="s">
        <v>3306</v>
      </c>
      <c r="G241" s="4"/>
      <c r="H241" s="4"/>
      <c r="I241" s="4"/>
    </row>
    <row r="242" customFormat="false" ht="15" hidden="false" customHeight="false" outlineLevel="0" collapsed="false">
      <c r="A242" s="4" t="s">
        <v>3605</v>
      </c>
      <c r="B242" s="4" t="s">
        <v>3592</v>
      </c>
      <c r="C242" s="4" t="n">
        <v>0</v>
      </c>
      <c r="D242" s="4" t="n">
        <v>0</v>
      </c>
      <c r="E242" s="4" t="n">
        <v>0</v>
      </c>
      <c r="F242" s="4" t="s">
        <v>3306</v>
      </c>
      <c r="G242" s="4"/>
      <c r="H242" s="4"/>
      <c r="I242" s="4"/>
    </row>
    <row r="243" customFormat="false" ht="15" hidden="false" customHeight="false" outlineLevel="0" collapsed="false">
      <c r="A243" s="4" t="s">
        <v>3606</v>
      </c>
      <c r="B243" s="4" t="s">
        <v>3592</v>
      </c>
      <c r="C243" s="4" t="n">
        <v>0</v>
      </c>
      <c r="D243" s="4" t="n">
        <v>0</v>
      </c>
      <c r="E243" s="4" t="n">
        <v>0</v>
      </c>
      <c r="F243" s="4" t="s">
        <v>3306</v>
      </c>
      <c r="G243" s="4"/>
      <c r="H243" s="4"/>
      <c r="I243" s="4"/>
    </row>
    <row r="244" customFormat="false" ht="15" hidden="false" customHeight="false" outlineLevel="0" collapsed="false">
      <c r="A244" s="4" t="s">
        <v>3607</v>
      </c>
      <c r="B244" s="4" t="s">
        <v>3592</v>
      </c>
      <c r="C244" s="4" t="n">
        <v>0</v>
      </c>
      <c r="D244" s="4" t="n">
        <v>0</v>
      </c>
      <c r="E244" s="4" t="n">
        <v>2</v>
      </c>
      <c r="F244" s="4"/>
      <c r="G244" s="4"/>
      <c r="H244" s="4"/>
      <c r="I244" s="4"/>
    </row>
    <row r="245" customFormat="false" ht="15" hidden="false" customHeight="false" outlineLevel="0" collapsed="false">
      <c r="A245" s="4" t="s">
        <v>3608</v>
      </c>
      <c r="B245" s="4" t="s">
        <v>3592</v>
      </c>
      <c r="C245" s="4" t="n">
        <v>0</v>
      </c>
      <c r="D245" s="4" t="n">
        <v>0</v>
      </c>
      <c r="E245" s="4" t="n">
        <v>0</v>
      </c>
      <c r="F245" s="4" t="s">
        <v>3362</v>
      </c>
      <c r="G245" s="4"/>
      <c r="H245" s="4"/>
      <c r="I245" s="4"/>
    </row>
    <row r="246" customFormat="false" ht="15" hidden="false" customHeight="false" outlineLevel="0" collapsed="false">
      <c r="A246" s="4" t="s">
        <v>3609</v>
      </c>
      <c r="B246" s="4" t="s">
        <v>3592</v>
      </c>
      <c r="C246" s="4" t="n">
        <v>0</v>
      </c>
      <c r="D246" s="4" t="n">
        <v>0</v>
      </c>
      <c r="E246" s="4" t="n">
        <v>0</v>
      </c>
      <c r="F246" s="4" t="s">
        <v>3210</v>
      </c>
      <c r="G246" s="4"/>
      <c r="H246" s="4"/>
      <c r="I246" s="4"/>
    </row>
    <row r="247" customFormat="false" ht="15" hidden="false" customHeight="false" outlineLevel="0" collapsed="false">
      <c r="A247" s="4" t="s">
        <v>3610</v>
      </c>
      <c r="B247" s="4" t="s">
        <v>3592</v>
      </c>
      <c r="C247" s="4" t="n">
        <v>0</v>
      </c>
      <c r="D247" s="4" t="n">
        <v>0</v>
      </c>
      <c r="E247" s="4" t="n">
        <v>0</v>
      </c>
      <c r="F247" s="4" t="s">
        <v>3230</v>
      </c>
      <c r="G247" s="4"/>
      <c r="H247" s="4"/>
      <c r="I247" s="4"/>
    </row>
    <row r="248" customFormat="false" ht="15" hidden="false" customHeight="false" outlineLevel="0" collapsed="false">
      <c r="A248" s="4" t="s">
        <v>3611</v>
      </c>
      <c r="B248" s="4" t="s">
        <v>3592</v>
      </c>
      <c r="C248" s="4" t="n">
        <v>0</v>
      </c>
      <c r="D248" s="4" t="n">
        <v>0</v>
      </c>
      <c r="E248" s="4" t="n">
        <v>0</v>
      </c>
      <c r="F248" s="4" t="s">
        <v>3362</v>
      </c>
      <c r="G248" s="4"/>
      <c r="H248" s="4"/>
      <c r="I248" s="4"/>
    </row>
    <row r="249" customFormat="false" ht="15" hidden="false" customHeight="false" outlineLevel="0" collapsed="false">
      <c r="A249" s="4" t="s">
        <v>3612</v>
      </c>
      <c r="B249" s="4" t="s">
        <v>3592</v>
      </c>
      <c r="C249" s="4" t="n">
        <v>0</v>
      </c>
      <c r="D249" s="4" t="n">
        <v>0</v>
      </c>
      <c r="E249" s="4" t="n">
        <v>0</v>
      </c>
      <c r="F249" s="4" t="s">
        <v>3306</v>
      </c>
      <c r="G249" s="4"/>
      <c r="H249" s="4"/>
      <c r="I249" s="4"/>
    </row>
    <row r="250" customFormat="false" ht="15" hidden="false" customHeight="false" outlineLevel="0" collapsed="false">
      <c r="A250" s="4" t="s">
        <v>3613</v>
      </c>
      <c r="B250" s="4" t="s">
        <v>3592</v>
      </c>
      <c r="C250" s="4" t="n">
        <v>0</v>
      </c>
      <c r="D250" s="4" t="n">
        <v>0</v>
      </c>
      <c r="E250" s="4" t="n">
        <v>0</v>
      </c>
      <c r="F250" s="4" t="s">
        <v>3306</v>
      </c>
      <c r="G250" s="4"/>
      <c r="H250" s="4"/>
      <c r="I250" s="4"/>
    </row>
    <row r="251" customFormat="false" ht="15" hidden="false" customHeight="false" outlineLevel="0" collapsed="false">
      <c r="A251" s="4" t="s">
        <v>3614</v>
      </c>
      <c r="B251" s="4" t="s">
        <v>3592</v>
      </c>
      <c r="C251" s="4" t="n">
        <v>0</v>
      </c>
      <c r="D251" s="4" t="n">
        <v>0</v>
      </c>
      <c r="E251" s="4" t="n">
        <v>0</v>
      </c>
      <c r="F251" s="4" t="s">
        <v>3362</v>
      </c>
      <c r="G251" s="4"/>
      <c r="H251" s="4"/>
      <c r="I251" s="4"/>
    </row>
    <row r="252" customFormat="false" ht="15" hidden="false" customHeight="false" outlineLevel="0" collapsed="false">
      <c r="A252" s="4" t="s">
        <v>3615</v>
      </c>
      <c r="B252" s="4" t="s">
        <v>3592</v>
      </c>
      <c r="C252" s="4" t="n">
        <v>0</v>
      </c>
      <c r="D252" s="4" t="n">
        <v>0</v>
      </c>
      <c r="E252" s="4" t="n">
        <v>0</v>
      </c>
      <c r="F252" s="4" t="s">
        <v>3230</v>
      </c>
      <c r="G252" s="4"/>
      <c r="H252" s="4"/>
      <c r="I252" s="4"/>
    </row>
    <row r="253" customFormat="false" ht="15" hidden="false" customHeight="false" outlineLevel="0" collapsed="false">
      <c r="A253" s="4" t="s">
        <v>3616</v>
      </c>
      <c r="B253" s="4" t="s">
        <v>3592</v>
      </c>
      <c r="C253" s="4" t="n">
        <v>0</v>
      </c>
      <c r="D253" s="4" t="n">
        <v>0</v>
      </c>
      <c r="E253" s="4" t="n">
        <v>0</v>
      </c>
      <c r="F253" s="4" t="s">
        <v>3306</v>
      </c>
      <c r="G253" s="4"/>
      <c r="H253" s="4"/>
      <c r="I253" s="4"/>
    </row>
    <row r="254" customFormat="false" ht="15" hidden="false" customHeight="false" outlineLevel="0" collapsed="false">
      <c r="A254" s="4" t="s">
        <v>3617</v>
      </c>
      <c r="B254" s="4" t="s">
        <v>3592</v>
      </c>
      <c r="C254" s="4" t="n">
        <v>20</v>
      </c>
      <c r="D254" s="4" t="n">
        <v>0</v>
      </c>
      <c r="E254" s="4" t="n">
        <v>0</v>
      </c>
      <c r="F254" s="4" t="s">
        <v>3306</v>
      </c>
      <c r="G254" s="4" t="s">
        <v>3046</v>
      </c>
      <c r="H254" s="4"/>
      <c r="I254" s="4"/>
    </row>
    <row r="255" customFormat="false" ht="15" hidden="false" customHeight="false" outlineLevel="0" collapsed="false">
      <c r="A255" s="4" t="s">
        <v>3618</v>
      </c>
      <c r="B255" s="4" t="s">
        <v>3592</v>
      </c>
      <c r="C255" s="4" t="n">
        <v>0</v>
      </c>
      <c r="D255" s="4" t="n">
        <v>0</v>
      </c>
      <c r="E255" s="4" t="n">
        <v>0</v>
      </c>
      <c r="F255" s="4" t="s">
        <v>3210</v>
      </c>
      <c r="G255" s="4"/>
      <c r="H255" s="4"/>
      <c r="I255" s="4"/>
    </row>
    <row r="256" customFormat="false" ht="15" hidden="false" customHeight="false" outlineLevel="0" collapsed="false">
      <c r="A256" s="4" t="s">
        <v>3619</v>
      </c>
      <c r="B256" s="4" t="s">
        <v>3592</v>
      </c>
      <c r="C256" s="4" t="n">
        <v>0</v>
      </c>
      <c r="D256" s="4" t="n">
        <v>0</v>
      </c>
      <c r="E256" s="4" t="n">
        <v>2</v>
      </c>
      <c r="F256" s="4"/>
      <c r="G256" s="4"/>
      <c r="H256" s="4"/>
      <c r="I256" s="4"/>
    </row>
    <row r="257" customFormat="false" ht="15" hidden="false" customHeight="false" outlineLevel="0" collapsed="false">
      <c r="A257" s="4" t="s">
        <v>3620</v>
      </c>
      <c r="B257" s="4" t="s">
        <v>3621</v>
      </c>
      <c r="C257" s="4" t="n">
        <v>0</v>
      </c>
      <c r="D257" s="4" t="n">
        <v>0</v>
      </c>
      <c r="E257" s="4" t="n">
        <v>3</v>
      </c>
      <c r="F257" s="4" t="s">
        <v>3216</v>
      </c>
      <c r="G257" s="4" t="s">
        <v>3046</v>
      </c>
      <c r="H257" s="4"/>
      <c r="I257" s="4"/>
    </row>
    <row r="258" customFormat="false" ht="15" hidden="false" customHeight="false" outlineLevel="0" collapsed="false">
      <c r="A258" s="4" t="s">
        <v>3622</v>
      </c>
      <c r="B258" s="4" t="s">
        <v>3621</v>
      </c>
      <c r="C258" s="4" t="n">
        <v>0</v>
      </c>
      <c r="D258" s="4" t="n">
        <v>0</v>
      </c>
      <c r="E258" s="4" t="n">
        <v>3</v>
      </c>
      <c r="F258" s="4" t="s">
        <v>3216</v>
      </c>
      <c r="G258" s="4" t="s">
        <v>3046</v>
      </c>
      <c r="H258" s="4"/>
      <c r="I258" s="4"/>
    </row>
    <row r="259" customFormat="false" ht="15" hidden="false" customHeight="false" outlineLevel="0" collapsed="false">
      <c r="A259" s="4" t="s">
        <v>3623</v>
      </c>
      <c r="B259" s="4" t="s">
        <v>3621</v>
      </c>
      <c r="C259" s="4" t="n">
        <v>0</v>
      </c>
      <c r="D259" s="4" t="n">
        <v>0</v>
      </c>
      <c r="E259" s="4" t="n">
        <v>3</v>
      </c>
      <c r="F259" s="4" t="s">
        <v>3362</v>
      </c>
      <c r="G259" s="4" t="s">
        <v>3046</v>
      </c>
      <c r="H259" s="4" t="s">
        <v>3244</v>
      </c>
      <c r="I259" s="4"/>
    </row>
    <row r="260" customFormat="false" ht="15" hidden="false" customHeight="false" outlineLevel="0" collapsed="false">
      <c r="A260" s="4" t="s">
        <v>3624</v>
      </c>
      <c r="B260" s="4" t="s">
        <v>3621</v>
      </c>
      <c r="C260" s="4" t="n">
        <v>0</v>
      </c>
      <c r="D260" s="4" t="n">
        <v>0</v>
      </c>
      <c r="E260" s="4" t="n">
        <v>3</v>
      </c>
      <c r="F260" s="4" t="s">
        <v>3216</v>
      </c>
      <c r="G260" s="4" t="s">
        <v>3046</v>
      </c>
      <c r="H260" s="4"/>
      <c r="I260" s="4"/>
    </row>
    <row r="261" customFormat="false" ht="15" hidden="false" customHeight="false" outlineLevel="0" collapsed="false">
      <c r="A261" s="4" t="s">
        <v>3625</v>
      </c>
      <c r="B261" s="4" t="s">
        <v>3621</v>
      </c>
      <c r="C261" s="4" t="n">
        <v>0</v>
      </c>
      <c r="D261" s="4" t="n">
        <v>3</v>
      </c>
      <c r="E261" s="4" t="n">
        <v>0</v>
      </c>
      <c r="F261" s="4" t="s">
        <v>3216</v>
      </c>
      <c r="G261" s="4" t="s">
        <v>3046</v>
      </c>
      <c r="H261" s="4"/>
      <c r="I261" s="4"/>
    </row>
    <row r="262" customFormat="false" ht="15" hidden="false" customHeight="false" outlineLevel="0" collapsed="false">
      <c r="A262" s="4" t="s">
        <v>3626</v>
      </c>
      <c r="B262" s="4" t="s">
        <v>3621</v>
      </c>
      <c r="C262" s="4" t="n">
        <v>0</v>
      </c>
      <c r="D262" s="4" t="n">
        <v>0</v>
      </c>
      <c r="E262" s="4" t="n">
        <v>0</v>
      </c>
      <c r="F262" s="4" t="s">
        <v>3362</v>
      </c>
      <c r="G262" s="4" t="s">
        <v>3046</v>
      </c>
      <c r="H262" s="4"/>
      <c r="I262" s="4"/>
    </row>
    <row r="263" customFormat="false" ht="15" hidden="false" customHeight="false" outlineLevel="0" collapsed="false">
      <c r="A263" s="4" t="s">
        <v>3627</v>
      </c>
      <c r="B263" s="4" t="s">
        <v>3621</v>
      </c>
      <c r="C263" s="4" t="n">
        <v>0</v>
      </c>
      <c r="D263" s="4" t="n">
        <v>0</v>
      </c>
      <c r="E263" s="4" t="n">
        <v>3</v>
      </c>
      <c r="F263" s="4" t="s">
        <v>3362</v>
      </c>
      <c r="G263" s="4" t="s">
        <v>3046</v>
      </c>
      <c r="H263" s="4"/>
      <c r="I263" s="4"/>
    </row>
    <row r="264" customFormat="false" ht="15" hidden="false" customHeight="false" outlineLevel="0" collapsed="false">
      <c r="A264" s="4" t="s">
        <v>3628</v>
      </c>
      <c r="B264" s="4" t="s">
        <v>3621</v>
      </c>
      <c r="C264" s="4" t="n">
        <v>0</v>
      </c>
      <c r="D264" s="4" t="n">
        <v>0</v>
      </c>
      <c r="E264" s="4" t="n">
        <v>2</v>
      </c>
      <c r="F264" s="4" t="s">
        <v>3362</v>
      </c>
      <c r="G264" s="4" t="s">
        <v>3046</v>
      </c>
      <c r="H264" s="4" t="s">
        <v>3255</v>
      </c>
      <c r="I264" s="4"/>
    </row>
    <row r="265" customFormat="false" ht="15" hidden="false" customHeight="false" outlineLevel="0" collapsed="false">
      <c r="A265" s="4" t="s">
        <v>3629</v>
      </c>
      <c r="B265" s="4" t="s">
        <v>3621</v>
      </c>
      <c r="C265" s="4" t="n">
        <v>0</v>
      </c>
      <c r="D265" s="4" t="n">
        <v>0</v>
      </c>
      <c r="E265" s="4" t="n">
        <v>0</v>
      </c>
      <c r="F265" s="4" t="s">
        <v>3362</v>
      </c>
      <c r="G265" s="4" t="s">
        <v>3046</v>
      </c>
      <c r="H265" s="4"/>
      <c r="I265" s="4"/>
    </row>
    <row r="266" customFormat="false" ht="15" hidden="false" customHeight="false" outlineLevel="0" collapsed="false">
      <c r="A266" s="4" t="s">
        <v>3630</v>
      </c>
      <c r="B266" s="4" t="s">
        <v>3621</v>
      </c>
      <c r="C266" s="4" t="n">
        <v>0</v>
      </c>
      <c r="D266" s="4" t="n">
        <v>0</v>
      </c>
      <c r="E266" s="4" t="n">
        <v>0</v>
      </c>
      <c r="F266" s="4" t="s">
        <v>3216</v>
      </c>
      <c r="G266" s="4" t="s">
        <v>3090</v>
      </c>
      <c r="H266" s="4"/>
      <c r="I266" s="4" t="s">
        <v>3631</v>
      </c>
    </row>
    <row r="267" customFormat="false" ht="15" hidden="false" customHeight="false" outlineLevel="0" collapsed="false">
      <c r="A267" s="4" t="s">
        <v>3632</v>
      </c>
      <c r="B267" s="4" t="s">
        <v>3621</v>
      </c>
      <c r="C267" s="4" t="n">
        <v>0</v>
      </c>
      <c r="D267" s="4" t="n">
        <v>0</v>
      </c>
      <c r="E267" s="4" t="n">
        <v>0</v>
      </c>
      <c r="F267" s="4" t="s">
        <v>3262</v>
      </c>
      <c r="G267" s="4" t="s">
        <v>3061</v>
      </c>
      <c r="H267" s="4" t="s">
        <v>3431</v>
      </c>
      <c r="I267" s="4"/>
    </row>
    <row r="268" customFormat="false" ht="15" hidden="false" customHeight="false" outlineLevel="0" collapsed="false">
      <c r="A268" s="4" t="s">
        <v>3633</v>
      </c>
      <c r="B268" s="4" t="s">
        <v>3621</v>
      </c>
      <c r="C268" s="4" t="n">
        <v>0</v>
      </c>
      <c r="D268" s="4" t="n">
        <v>0</v>
      </c>
      <c r="E268" s="4" t="n">
        <v>3</v>
      </c>
      <c r="F268" s="4" t="s">
        <v>3216</v>
      </c>
      <c r="G268" s="4" t="s">
        <v>3056</v>
      </c>
      <c r="H268" s="4"/>
      <c r="I268" s="4"/>
    </row>
    <row r="269" customFormat="false" ht="15" hidden="false" customHeight="false" outlineLevel="0" collapsed="false">
      <c r="A269" s="4" t="s">
        <v>3634</v>
      </c>
      <c r="B269" s="4" t="s">
        <v>3621</v>
      </c>
      <c r="C269" s="4" t="n">
        <v>0</v>
      </c>
      <c r="D269" s="4" t="n">
        <v>0</v>
      </c>
      <c r="E269" s="4" t="n">
        <v>3</v>
      </c>
      <c r="F269" s="4" t="s">
        <v>3362</v>
      </c>
      <c r="G269" s="4" t="s">
        <v>3046</v>
      </c>
      <c r="H269" s="4" t="s">
        <v>3395</v>
      </c>
      <c r="I269" s="4" t="s">
        <v>3635</v>
      </c>
    </row>
    <row r="270" customFormat="false" ht="15" hidden="false" customHeight="false" outlineLevel="0" collapsed="false">
      <c r="A270" s="4" t="s">
        <v>3636</v>
      </c>
      <c r="B270" s="4" t="s">
        <v>3621</v>
      </c>
      <c r="C270" s="4" t="n">
        <v>0</v>
      </c>
      <c r="D270" s="4" t="n">
        <v>0</v>
      </c>
      <c r="E270" s="4" t="n">
        <v>0</v>
      </c>
      <c r="F270" s="4" t="s">
        <v>3210</v>
      </c>
      <c r="G270" s="4" t="s">
        <v>3046</v>
      </c>
      <c r="H270" s="4"/>
      <c r="I270" s="4" t="s">
        <v>2018</v>
      </c>
    </row>
    <row r="271" customFormat="false" ht="15" hidden="false" customHeight="false" outlineLevel="0" collapsed="false">
      <c r="A271" s="4" t="s">
        <v>3637</v>
      </c>
      <c r="B271" s="4" t="s">
        <v>3621</v>
      </c>
      <c r="C271" s="4" t="n">
        <v>0</v>
      </c>
      <c r="D271" s="4" t="n">
        <v>0</v>
      </c>
      <c r="E271" s="4" t="n">
        <v>0</v>
      </c>
      <c r="F271" s="4"/>
      <c r="G271" s="4" t="s">
        <v>3056</v>
      </c>
      <c r="H271" s="4"/>
      <c r="I271" s="4" t="s">
        <v>3638</v>
      </c>
    </row>
    <row r="272" customFormat="false" ht="15" hidden="false" customHeight="false" outlineLevel="0" collapsed="false">
      <c r="A272" s="4" t="s">
        <v>3639</v>
      </c>
      <c r="B272" s="4" t="s">
        <v>3621</v>
      </c>
      <c r="C272" s="4" t="n">
        <v>0</v>
      </c>
      <c r="D272" s="4" t="n">
        <v>0</v>
      </c>
      <c r="E272" s="4" t="n">
        <v>0</v>
      </c>
      <c r="F272" s="4" t="s">
        <v>3340</v>
      </c>
      <c r="G272" s="4"/>
      <c r="H272" s="4"/>
      <c r="I272" s="4" t="s">
        <v>3640</v>
      </c>
    </row>
    <row r="273" customFormat="false" ht="15" hidden="false" customHeight="false" outlineLevel="0" collapsed="false">
      <c r="A273" s="4" t="s">
        <v>3641</v>
      </c>
      <c r="B273" s="4" t="s">
        <v>3621</v>
      </c>
      <c r="C273" s="4" t="n">
        <v>0</v>
      </c>
      <c r="D273" s="4" t="n">
        <v>0</v>
      </c>
      <c r="E273" s="4" t="n">
        <v>0</v>
      </c>
      <c r="F273" s="4" t="s">
        <v>3362</v>
      </c>
      <c r="G273" s="4" t="s">
        <v>3046</v>
      </c>
      <c r="H273" s="4"/>
      <c r="I273" s="4" t="s">
        <v>3642</v>
      </c>
    </row>
    <row r="274" customFormat="false" ht="15" hidden="false" customHeight="false" outlineLevel="0" collapsed="false">
      <c r="A274" s="4" t="s">
        <v>3643</v>
      </c>
      <c r="B274" s="4" t="s">
        <v>3621</v>
      </c>
      <c r="C274" s="4" t="n">
        <v>0</v>
      </c>
      <c r="D274" s="4" t="n">
        <v>0</v>
      </c>
      <c r="E274" s="4" t="n">
        <v>0</v>
      </c>
      <c r="F274" s="4" t="s">
        <v>3362</v>
      </c>
      <c r="G274" s="4" t="s">
        <v>3046</v>
      </c>
      <c r="H274" s="4"/>
      <c r="I274" s="4"/>
    </row>
    <row r="275" customFormat="false" ht="15" hidden="false" customHeight="false" outlineLevel="0" collapsed="false">
      <c r="A275" s="4" t="s">
        <v>3644</v>
      </c>
      <c r="B275" s="4" t="s">
        <v>3621</v>
      </c>
      <c r="C275" s="4" t="n">
        <v>0</v>
      </c>
      <c r="D275" s="4" t="n">
        <v>0</v>
      </c>
      <c r="E275" s="4" t="n">
        <v>0</v>
      </c>
      <c r="F275" s="4" t="s">
        <v>3340</v>
      </c>
      <c r="G275" s="4" t="s">
        <v>3061</v>
      </c>
      <c r="H275" s="4"/>
      <c r="I275" s="4"/>
    </row>
    <row r="276" customFormat="false" ht="15" hidden="false" customHeight="false" outlineLevel="0" collapsed="false">
      <c r="A276" s="4" t="s">
        <v>3645</v>
      </c>
      <c r="B276" s="4" t="s">
        <v>3621</v>
      </c>
      <c r="C276" s="4" t="n">
        <v>0</v>
      </c>
      <c r="D276" s="4" t="n">
        <v>0</v>
      </c>
      <c r="E276" s="4" t="n">
        <v>0</v>
      </c>
      <c r="F276" s="4" t="s">
        <v>3230</v>
      </c>
      <c r="G276" s="4" t="s">
        <v>3090</v>
      </c>
      <c r="H276" s="4"/>
      <c r="I276" s="4" t="s">
        <v>3646</v>
      </c>
    </row>
    <row r="277" customFormat="false" ht="15" hidden="false" customHeight="false" outlineLevel="0" collapsed="false">
      <c r="A277" s="4" t="s">
        <v>3647</v>
      </c>
      <c r="B277" s="4" t="s">
        <v>3621</v>
      </c>
      <c r="C277" s="4" t="n">
        <v>0</v>
      </c>
      <c r="D277" s="4" t="n">
        <v>0</v>
      </c>
      <c r="E277" s="4" t="n">
        <v>3</v>
      </c>
      <c r="F277" s="4" t="s">
        <v>3362</v>
      </c>
      <c r="G277" s="4" t="s">
        <v>3046</v>
      </c>
      <c r="H277" s="4" t="s">
        <v>3319</v>
      </c>
      <c r="I277" s="4"/>
    </row>
    <row r="278" customFormat="false" ht="15" hidden="false" customHeight="false" outlineLevel="0" collapsed="false">
      <c r="A278" s="4" t="s">
        <v>3648</v>
      </c>
      <c r="B278" s="4" t="s">
        <v>3621</v>
      </c>
      <c r="C278" s="4" t="n">
        <v>0</v>
      </c>
      <c r="D278" s="4" t="n">
        <v>0</v>
      </c>
      <c r="E278" s="4" t="n">
        <v>3</v>
      </c>
      <c r="F278" s="4" t="s">
        <v>3362</v>
      </c>
      <c r="G278" s="4" t="s">
        <v>3046</v>
      </c>
      <c r="H278" s="4"/>
      <c r="I278" s="4"/>
    </row>
    <row r="279" customFormat="false" ht="15" hidden="false" customHeight="false" outlineLevel="0" collapsed="false">
      <c r="A279" s="4" t="s">
        <v>3649</v>
      </c>
      <c r="B279" s="4" t="s">
        <v>3621</v>
      </c>
      <c r="C279" s="4" t="n">
        <v>0</v>
      </c>
      <c r="D279" s="4" t="n">
        <v>0</v>
      </c>
      <c r="E279" s="4" t="n">
        <v>3</v>
      </c>
      <c r="F279" s="4" t="s">
        <v>3362</v>
      </c>
      <c r="G279" s="4" t="s">
        <v>3046</v>
      </c>
      <c r="H279" s="4"/>
      <c r="I279" s="4"/>
    </row>
    <row r="280" customFormat="false" ht="15" hidden="false" customHeight="false" outlineLevel="0" collapsed="false">
      <c r="A280" s="4" t="s">
        <v>3650</v>
      </c>
      <c r="B280" s="4" t="s">
        <v>3621</v>
      </c>
      <c r="C280" s="4" t="n">
        <v>0</v>
      </c>
      <c r="D280" s="4" t="n">
        <v>0</v>
      </c>
      <c r="E280" s="4" t="n">
        <v>0</v>
      </c>
      <c r="F280" s="4" t="s">
        <v>3306</v>
      </c>
      <c r="G280" s="4"/>
      <c r="H280" s="4"/>
      <c r="I280" s="4" t="s">
        <v>691</v>
      </c>
    </row>
    <row r="281" customFormat="false" ht="15" hidden="false" customHeight="false" outlineLevel="0" collapsed="false">
      <c r="A281" s="4" t="s">
        <v>3651</v>
      </c>
      <c r="B281" s="4" t="s">
        <v>3621</v>
      </c>
      <c r="C281" s="4" t="n">
        <v>0</v>
      </c>
      <c r="D281" s="4" t="n">
        <v>0</v>
      </c>
      <c r="E281" s="4" t="n">
        <v>0</v>
      </c>
      <c r="F281" s="4" t="s">
        <v>3306</v>
      </c>
      <c r="G281" s="4"/>
      <c r="H281" s="4"/>
      <c r="I281" s="4" t="s">
        <v>2018</v>
      </c>
    </row>
    <row r="282" customFormat="false" ht="15" hidden="false" customHeight="false" outlineLevel="0" collapsed="false">
      <c r="A282" s="4" t="s">
        <v>3652</v>
      </c>
      <c r="B282" s="4" t="s">
        <v>3621</v>
      </c>
      <c r="C282" s="4" t="n">
        <v>0</v>
      </c>
      <c r="D282" s="4" t="n">
        <v>3</v>
      </c>
      <c r="E282" s="4" t="n">
        <v>0</v>
      </c>
      <c r="F282" s="4" t="s">
        <v>3216</v>
      </c>
      <c r="G282" s="4" t="s">
        <v>3046</v>
      </c>
      <c r="H282" s="4"/>
      <c r="I282" s="4"/>
    </row>
    <row r="283" customFormat="false" ht="15" hidden="false" customHeight="false" outlineLevel="0" collapsed="false">
      <c r="A283" s="4" t="s">
        <v>3653</v>
      </c>
      <c r="B283" s="4" t="s">
        <v>3621</v>
      </c>
      <c r="C283" s="4" t="n">
        <v>0</v>
      </c>
      <c r="D283" s="4" t="n">
        <v>3</v>
      </c>
      <c r="E283" s="4" t="n">
        <v>0</v>
      </c>
      <c r="F283" s="4" t="s">
        <v>3362</v>
      </c>
      <c r="G283" s="4" t="s">
        <v>3046</v>
      </c>
      <c r="H283" s="4"/>
      <c r="I283" s="4"/>
    </row>
    <row r="284" customFormat="false" ht="15" hidden="false" customHeight="false" outlineLevel="0" collapsed="false">
      <c r="A284" s="4" t="s">
        <v>3654</v>
      </c>
      <c r="B284" s="4" t="s">
        <v>3621</v>
      </c>
      <c r="C284" s="4" t="n">
        <v>0</v>
      </c>
      <c r="D284" s="4" t="n">
        <v>0</v>
      </c>
      <c r="E284" s="4" t="n">
        <v>3</v>
      </c>
      <c r="F284" s="4" t="s">
        <v>3362</v>
      </c>
      <c r="G284" s="4" t="s">
        <v>3046</v>
      </c>
      <c r="H284" s="4"/>
      <c r="I284" s="4"/>
    </row>
    <row r="285" customFormat="false" ht="15" hidden="false" customHeight="false" outlineLevel="0" collapsed="false">
      <c r="A285" s="4" t="s">
        <v>3655</v>
      </c>
      <c r="B285" s="4" t="s">
        <v>3621</v>
      </c>
      <c r="C285" s="4" t="n">
        <v>0</v>
      </c>
      <c r="D285" s="4" t="n">
        <v>0</v>
      </c>
      <c r="E285" s="4" t="n">
        <v>3</v>
      </c>
      <c r="F285" s="4" t="s">
        <v>3362</v>
      </c>
      <c r="G285" s="4" t="s">
        <v>3046</v>
      </c>
      <c r="H285" s="4" t="s">
        <v>3400</v>
      </c>
      <c r="I285" s="4" t="s">
        <v>3656</v>
      </c>
    </row>
    <row r="286" customFormat="false" ht="15" hidden="false" customHeight="false" outlineLevel="0" collapsed="false">
      <c r="A286" s="4" t="s">
        <v>3657</v>
      </c>
      <c r="B286" s="4" t="s">
        <v>3621</v>
      </c>
      <c r="C286" s="4" t="n">
        <v>0</v>
      </c>
      <c r="D286" s="4" t="n">
        <v>0</v>
      </c>
      <c r="E286" s="4" t="n">
        <v>0</v>
      </c>
      <c r="F286" s="4" t="s">
        <v>3216</v>
      </c>
      <c r="G286" s="4"/>
      <c r="H286" s="4"/>
      <c r="I286" s="4" t="s">
        <v>3658</v>
      </c>
    </row>
    <row r="287" customFormat="false" ht="15" hidden="false" customHeight="false" outlineLevel="0" collapsed="false">
      <c r="A287" s="4" t="s">
        <v>3659</v>
      </c>
      <c r="B287" s="4" t="s">
        <v>3621</v>
      </c>
      <c r="C287" s="4" t="n">
        <v>2</v>
      </c>
      <c r="D287" s="4" t="n">
        <v>0</v>
      </c>
      <c r="E287" s="4" t="n">
        <v>0</v>
      </c>
      <c r="F287" s="4" t="s">
        <v>3362</v>
      </c>
      <c r="G287" s="4"/>
      <c r="H287" s="4" t="s">
        <v>3341</v>
      </c>
      <c r="I287" s="4"/>
    </row>
    <row r="288" customFormat="false" ht="15" hidden="false" customHeight="false" outlineLevel="0" collapsed="false">
      <c r="A288" s="4" t="s">
        <v>3660</v>
      </c>
      <c r="B288" s="4" t="s">
        <v>3621</v>
      </c>
      <c r="C288" s="4" t="n">
        <v>0</v>
      </c>
      <c r="D288" s="4" t="n">
        <v>0</v>
      </c>
      <c r="E288" s="4" t="n">
        <v>0</v>
      </c>
      <c r="F288" s="4" t="s">
        <v>3216</v>
      </c>
      <c r="G288" s="4" t="s">
        <v>3046</v>
      </c>
      <c r="H288" s="4" t="s">
        <v>3346</v>
      </c>
      <c r="I288" s="4"/>
    </row>
    <row r="289" customFormat="false" ht="15" hidden="false" customHeight="false" outlineLevel="0" collapsed="false">
      <c r="A289" s="4" t="s">
        <v>3661</v>
      </c>
      <c r="B289" s="4" t="s">
        <v>3621</v>
      </c>
      <c r="C289" s="4" t="n">
        <v>0</v>
      </c>
      <c r="D289" s="4" t="n">
        <v>0</v>
      </c>
      <c r="E289" s="4" t="n">
        <v>0</v>
      </c>
      <c r="F289" s="4" t="s">
        <v>3362</v>
      </c>
      <c r="G289" s="4" t="s">
        <v>3046</v>
      </c>
      <c r="H289" s="4"/>
      <c r="I289" s="4"/>
    </row>
    <row r="290" customFormat="false" ht="15" hidden="false" customHeight="false" outlineLevel="0" collapsed="false">
      <c r="A290" s="4" t="s">
        <v>3662</v>
      </c>
      <c r="B290" s="4" t="s">
        <v>3621</v>
      </c>
      <c r="C290" s="4" t="n">
        <v>0</v>
      </c>
      <c r="D290" s="4" t="n">
        <v>0</v>
      </c>
      <c r="E290" s="4" t="n">
        <v>2</v>
      </c>
      <c r="F290" s="4" t="s">
        <v>3216</v>
      </c>
      <c r="G290" s="4" t="s">
        <v>3046</v>
      </c>
      <c r="H290" s="4"/>
      <c r="I290" s="4"/>
    </row>
    <row r="291" customFormat="false" ht="15" hidden="false" customHeight="false" outlineLevel="0" collapsed="false">
      <c r="A291" s="4" t="s">
        <v>3663</v>
      </c>
      <c r="B291" s="4" t="s">
        <v>3621</v>
      </c>
      <c r="C291" s="4" t="n">
        <v>0</v>
      </c>
      <c r="D291" s="4" t="n">
        <v>0</v>
      </c>
      <c r="E291" s="4" t="n">
        <v>3</v>
      </c>
      <c r="F291" s="4" t="s">
        <v>3362</v>
      </c>
      <c r="G291" s="4" t="s">
        <v>3046</v>
      </c>
      <c r="H291" s="4"/>
      <c r="I291" s="4"/>
    </row>
    <row r="292" customFormat="false" ht="15" hidden="false" customHeight="false" outlineLevel="0" collapsed="false">
      <c r="A292" s="4" t="s">
        <v>3664</v>
      </c>
      <c r="B292" s="4" t="s">
        <v>3621</v>
      </c>
      <c r="C292" s="4" t="n">
        <v>0</v>
      </c>
      <c r="D292" s="4" t="n">
        <v>0</v>
      </c>
      <c r="E292" s="4" t="n">
        <v>0</v>
      </c>
      <c r="F292" s="4" t="s">
        <v>3230</v>
      </c>
      <c r="G292" s="4" t="s">
        <v>3046</v>
      </c>
      <c r="H292" s="4"/>
      <c r="I292" s="4"/>
    </row>
    <row r="293" customFormat="false" ht="15" hidden="false" customHeight="false" outlineLevel="0" collapsed="false">
      <c r="A293" s="4" t="s">
        <v>3665</v>
      </c>
      <c r="B293" s="4" t="s">
        <v>3621</v>
      </c>
      <c r="C293" s="4" t="n">
        <v>0</v>
      </c>
      <c r="D293" s="4" t="n">
        <v>0</v>
      </c>
      <c r="E293" s="4" t="n">
        <v>0</v>
      </c>
      <c r="F293" s="4" t="s">
        <v>3210</v>
      </c>
      <c r="G293" s="4" t="s">
        <v>3046</v>
      </c>
      <c r="H293" s="4"/>
      <c r="I293" s="4" t="s">
        <v>3666</v>
      </c>
    </row>
    <row r="294" customFormat="false" ht="15" hidden="false" customHeight="false" outlineLevel="0" collapsed="false">
      <c r="A294" s="4" t="s">
        <v>3667</v>
      </c>
      <c r="B294" s="4" t="s">
        <v>3621</v>
      </c>
      <c r="C294" s="4" t="n">
        <v>2</v>
      </c>
      <c r="D294" s="4" t="n">
        <v>0</v>
      </c>
      <c r="E294" s="4" t="n">
        <v>0</v>
      </c>
      <c r="F294" s="4" t="s">
        <v>3362</v>
      </c>
      <c r="G294" s="4" t="s">
        <v>3046</v>
      </c>
      <c r="H294" s="4"/>
      <c r="I294" s="4" t="s">
        <v>3668</v>
      </c>
    </row>
    <row r="295" customFormat="false" ht="15" hidden="false" customHeight="false" outlineLevel="0" collapsed="false">
      <c r="A295" s="4" t="s">
        <v>3669</v>
      </c>
      <c r="B295" s="4" t="s">
        <v>3621</v>
      </c>
      <c r="C295" s="4" t="n">
        <v>0</v>
      </c>
      <c r="D295" s="4" t="n">
        <v>0</v>
      </c>
      <c r="E295" s="4" t="n">
        <v>0</v>
      </c>
      <c r="F295" s="4" t="s">
        <v>3340</v>
      </c>
      <c r="G295" s="4" t="s">
        <v>3670</v>
      </c>
      <c r="H295" s="4"/>
      <c r="I295" s="4"/>
    </row>
    <row r="296" customFormat="false" ht="15" hidden="false" customHeight="false" outlineLevel="0" collapsed="false">
      <c r="A296" s="4" t="s">
        <v>3671</v>
      </c>
      <c r="B296" s="4" t="s">
        <v>3621</v>
      </c>
      <c r="C296" s="4" t="n">
        <v>0</v>
      </c>
      <c r="D296" s="4" t="n">
        <v>0</v>
      </c>
      <c r="E296" s="4" t="n">
        <v>0</v>
      </c>
      <c r="F296" s="4" t="s">
        <v>3216</v>
      </c>
      <c r="G296" s="4" t="s">
        <v>3046</v>
      </c>
      <c r="H296" s="4"/>
      <c r="I296" s="4"/>
    </row>
    <row r="297" customFormat="false" ht="15" hidden="false" customHeight="false" outlineLevel="0" collapsed="false">
      <c r="A297" s="4" t="s">
        <v>3672</v>
      </c>
      <c r="B297" s="4" t="s">
        <v>3621</v>
      </c>
      <c r="C297" s="4" t="n">
        <v>0</v>
      </c>
      <c r="D297" s="4" t="n">
        <v>0</v>
      </c>
      <c r="E297" s="4" t="n">
        <v>0</v>
      </c>
      <c r="F297" s="4" t="s">
        <v>3362</v>
      </c>
      <c r="G297" s="4" t="s">
        <v>3046</v>
      </c>
      <c r="H297" s="4"/>
      <c r="I297" s="4" t="s">
        <v>3673</v>
      </c>
    </row>
    <row r="298" customFormat="false" ht="15" hidden="false" customHeight="false" outlineLevel="0" collapsed="false">
      <c r="A298" s="4" t="s">
        <v>3674</v>
      </c>
      <c r="B298" s="4" t="s">
        <v>3621</v>
      </c>
      <c r="C298" s="4" t="n">
        <v>0</v>
      </c>
      <c r="D298" s="4" t="n">
        <v>0</v>
      </c>
      <c r="E298" s="4" t="n">
        <v>3</v>
      </c>
      <c r="F298" s="4" t="s">
        <v>3362</v>
      </c>
      <c r="G298" s="4" t="s">
        <v>3046</v>
      </c>
      <c r="H298" s="4"/>
      <c r="I298" s="4"/>
    </row>
    <row r="299" customFormat="false" ht="15" hidden="false" customHeight="false" outlineLevel="0" collapsed="false">
      <c r="A299" s="4" t="s">
        <v>3675</v>
      </c>
      <c r="B299" s="4" t="s">
        <v>3621</v>
      </c>
      <c r="C299" s="4" t="n">
        <v>1</v>
      </c>
      <c r="D299" s="4" t="n">
        <v>0</v>
      </c>
      <c r="E299" s="4" t="n">
        <v>0</v>
      </c>
      <c r="F299" s="4"/>
      <c r="G299" s="4" t="s">
        <v>3046</v>
      </c>
      <c r="H299" s="4"/>
      <c r="I299" s="4" t="s">
        <v>3676</v>
      </c>
    </row>
  </sheetData>
  <autoFilter ref="A1:I29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10"/>
    <col collapsed="false" customWidth="true" hidden="false" outlineLevel="0" max="4" min="4" style="0" width="14"/>
    <col collapsed="false" customWidth="true" hidden="false" outlineLevel="0" max="5" min="5" style="0" width="30"/>
    <col collapsed="false" customWidth="true" hidden="false" outlineLevel="0" max="6" min="6" style="0" width="90"/>
  </cols>
  <sheetData>
    <row r="1" customFormat="false" ht="35.05" hidden="false" customHeight="false" outlineLevel="0" collapsed="false">
      <c r="A1" s="21" t="s">
        <v>3677</v>
      </c>
      <c r="B1" s="21" t="s">
        <v>3678</v>
      </c>
      <c r="C1" s="21" t="s">
        <v>3679</v>
      </c>
      <c r="D1" s="21" t="s">
        <v>3680</v>
      </c>
      <c r="E1" s="21" t="s">
        <v>3681</v>
      </c>
      <c r="F1" s="21" t="s">
        <v>3682</v>
      </c>
    </row>
    <row r="2" customFormat="false" ht="15" hidden="false" customHeight="false" outlineLevel="0" collapsed="false">
      <c r="A2" s="3" t="s">
        <v>3683</v>
      </c>
      <c r="B2" s="3"/>
      <c r="C2" s="3"/>
      <c r="D2" s="3"/>
      <c r="E2" s="3"/>
      <c r="F2" s="3"/>
    </row>
    <row r="3" customFormat="false" ht="15" hidden="false" customHeight="false" outlineLevel="0" collapsed="false">
      <c r="A3" s="3" t="s">
        <v>3684</v>
      </c>
      <c r="B3" s="3" t="n">
        <v>1.07</v>
      </c>
      <c r="C3" s="3"/>
      <c r="D3" s="3"/>
      <c r="E3" s="3"/>
      <c r="F3" s="3" t="s">
        <v>3685</v>
      </c>
    </row>
    <row r="4" customFormat="false" ht="15" hidden="false" customHeight="false" outlineLevel="0" collapsed="false">
      <c r="A4" s="3" t="s">
        <v>3686</v>
      </c>
      <c r="B4" s="3" t="n">
        <v>1.1</v>
      </c>
      <c r="C4" s="3"/>
      <c r="D4" s="3"/>
      <c r="E4" s="3"/>
      <c r="F4" s="3" t="s">
        <v>3687</v>
      </c>
    </row>
    <row r="5" customFormat="false" ht="15" hidden="false" customHeight="false" outlineLevel="0" collapsed="false">
      <c r="A5" s="3" t="s">
        <v>3688</v>
      </c>
      <c r="B5" s="3" t="n">
        <v>1.04</v>
      </c>
      <c r="C5" s="3"/>
      <c r="D5" s="3"/>
      <c r="E5" s="3"/>
      <c r="F5" s="3" t="s">
        <v>3689</v>
      </c>
    </row>
    <row r="6" customFormat="false" ht="15" hidden="false" customHeight="false" outlineLevel="0" collapsed="false">
      <c r="A6" s="3" t="s">
        <v>3690</v>
      </c>
      <c r="B6" s="3"/>
      <c r="C6" s="3" t="n">
        <v>0.05</v>
      </c>
      <c r="D6" s="3"/>
      <c r="E6" s="3"/>
      <c r="F6" s="3" t="s">
        <v>3691</v>
      </c>
    </row>
    <row r="7" customFormat="false" ht="15" hidden="false" customHeight="false" outlineLevel="0" collapsed="false">
      <c r="A7" s="3" t="s">
        <v>3692</v>
      </c>
      <c r="B7" s="3"/>
      <c r="C7" s="3"/>
      <c r="D7" s="3" t="n">
        <v>0.2</v>
      </c>
      <c r="E7" s="3"/>
      <c r="F7" s="3" t="s">
        <v>3693</v>
      </c>
    </row>
    <row r="8" customFormat="false" ht="15" hidden="false" customHeight="false" outlineLevel="0" collapsed="false">
      <c r="A8" s="3" t="s">
        <v>3694</v>
      </c>
      <c r="B8" s="3"/>
      <c r="C8" s="3"/>
      <c r="D8" s="3" t="n">
        <v>0.25</v>
      </c>
      <c r="E8" s="3"/>
      <c r="F8" s="3" t="s">
        <v>3695</v>
      </c>
    </row>
    <row r="9" customFormat="false" ht="23.85" hidden="false" customHeight="false" outlineLevel="0" collapsed="false">
      <c r="A9" s="3" t="s">
        <v>3696</v>
      </c>
      <c r="B9" s="3"/>
      <c r="C9" s="3"/>
      <c r="D9" s="3"/>
      <c r="E9" s="3" t="s">
        <v>3697</v>
      </c>
      <c r="F9" s="3" t="s">
        <v>3698</v>
      </c>
    </row>
    <row r="10" customFormat="false" ht="23.85" hidden="false" customHeight="false" outlineLevel="0" collapsed="false">
      <c r="A10" s="3" t="s">
        <v>3699</v>
      </c>
      <c r="B10" s="3"/>
      <c r="C10" s="3"/>
      <c r="D10" s="3"/>
      <c r="E10" s="3" t="s">
        <v>3700</v>
      </c>
      <c r="F10" s="3" t="s">
        <v>3701</v>
      </c>
    </row>
    <row r="11" customFormat="false" ht="15" hidden="false" customHeight="false" outlineLevel="0" collapsed="false">
      <c r="A11" s="3" t="s">
        <v>3702</v>
      </c>
      <c r="B11" s="3"/>
      <c r="C11" s="3"/>
      <c r="D11" s="3"/>
      <c r="E11" s="3" t="s">
        <v>3703</v>
      </c>
      <c r="F11" s="3" t="s">
        <v>3704</v>
      </c>
    </row>
    <row r="12" customFormat="false" ht="15" hidden="false" customHeight="false" outlineLevel="0" collapsed="false">
      <c r="A12" s="3" t="s">
        <v>3705</v>
      </c>
      <c r="B12" s="3"/>
      <c r="C12" s="3"/>
      <c r="D12" s="3"/>
      <c r="E12" s="3" t="s">
        <v>3706</v>
      </c>
      <c r="F12" s="3" t="s">
        <v>3707</v>
      </c>
    </row>
    <row r="13" customFormat="false" ht="15" hidden="false" customHeight="false" outlineLevel="0" collapsed="false">
      <c r="A13" s="3" t="s">
        <v>3708</v>
      </c>
      <c r="B13" s="3"/>
      <c r="C13" s="3"/>
      <c r="D13" s="3"/>
      <c r="E13" s="3" t="s">
        <v>3709</v>
      </c>
      <c r="F13" s="3" t="s">
        <v>3710</v>
      </c>
    </row>
    <row r="14" customFormat="false" ht="23.85" hidden="false" customHeight="false" outlineLevel="0" collapsed="false">
      <c r="A14" s="3" t="s">
        <v>3711</v>
      </c>
      <c r="B14" s="3"/>
      <c r="C14" s="3"/>
      <c r="D14" s="3"/>
      <c r="E14" s="3" t="s">
        <v>3712</v>
      </c>
      <c r="F14" s="3" t="s">
        <v>3713</v>
      </c>
    </row>
    <row r="15" customFormat="false" ht="23.85" hidden="false" customHeight="false" outlineLevel="0" collapsed="false">
      <c r="A15" s="3" t="s">
        <v>3714</v>
      </c>
      <c r="B15" s="3"/>
      <c r="C15" s="3"/>
      <c r="D15" s="3"/>
      <c r="E15" s="3" t="s">
        <v>3715</v>
      </c>
      <c r="F15" s="3" t="s">
        <v>3716</v>
      </c>
    </row>
    <row r="16" customFormat="false" ht="15" hidden="false" customHeight="false" outlineLevel="0" collapsed="false">
      <c r="A16" s="3" t="s">
        <v>3717</v>
      </c>
      <c r="B16" s="3"/>
      <c r="C16" s="3"/>
      <c r="D16" s="3"/>
      <c r="E16" s="3"/>
      <c r="F16" s="3" t="s">
        <v>3718</v>
      </c>
    </row>
    <row r="17" customFormat="false" ht="15" hidden="false" customHeight="false" outlineLevel="0" collapsed="false">
      <c r="A17" s="3" t="s">
        <v>3719</v>
      </c>
      <c r="B17" s="3"/>
      <c r="C17" s="3"/>
      <c r="D17" s="3"/>
      <c r="E17" s="3"/>
      <c r="F17" s="3" t="s">
        <v>3720</v>
      </c>
    </row>
    <row r="18" customFormat="false" ht="15" hidden="false" customHeight="false" outlineLevel="0" collapsed="false">
      <c r="A18" s="3" t="s">
        <v>3721</v>
      </c>
      <c r="B18" s="3"/>
      <c r="C18" s="3"/>
      <c r="D18" s="3"/>
      <c r="E18" s="3"/>
      <c r="F18" s="3" t="s">
        <v>3722</v>
      </c>
    </row>
    <row r="19" customFormat="false" ht="15" hidden="false" customHeight="false" outlineLevel="0" collapsed="false">
      <c r="A19" s="3" t="s">
        <v>3723</v>
      </c>
      <c r="B19" s="3"/>
      <c r="C19" s="3"/>
      <c r="D19" s="3"/>
      <c r="E19" s="3"/>
      <c r="F19" s="3" t="s">
        <v>3724</v>
      </c>
    </row>
    <row r="20" customFormat="false" ht="15" hidden="false" customHeight="false" outlineLevel="0" collapsed="false">
      <c r="A20" s="3" t="s">
        <v>3725</v>
      </c>
      <c r="B20" s="3"/>
      <c r="C20" s="3"/>
      <c r="D20" s="3"/>
      <c r="E20" s="3"/>
      <c r="F20" s="3" t="s">
        <v>3726</v>
      </c>
    </row>
    <row r="21" customFormat="false" ht="15" hidden="false" customHeight="false" outlineLevel="0" collapsed="false">
      <c r="A21" s="3" t="s">
        <v>3727</v>
      </c>
      <c r="B21" s="3"/>
      <c r="C21" s="3"/>
      <c r="D21" s="3"/>
      <c r="E21" s="3"/>
      <c r="F21" s="3" t="s">
        <v>3728</v>
      </c>
    </row>
    <row r="22" customFormat="false" ht="15" hidden="false" customHeight="false" outlineLevel="0" collapsed="false">
      <c r="A22" s="3" t="s">
        <v>3729</v>
      </c>
      <c r="B22" s="3"/>
      <c r="C22" s="3"/>
      <c r="D22" s="3"/>
      <c r="E22" s="3"/>
      <c r="F22" s="3" t="s">
        <v>3730</v>
      </c>
    </row>
    <row r="23" customFormat="false" ht="15" hidden="false" customHeight="false" outlineLevel="0" collapsed="false">
      <c r="A23" s="3" t="s">
        <v>3731</v>
      </c>
      <c r="B23" s="3"/>
      <c r="C23" s="3"/>
      <c r="D23" s="3"/>
      <c r="E23" s="3"/>
      <c r="F23" s="3" t="s">
        <v>3732</v>
      </c>
    </row>
    <row r="24" customFormat="false" ht="15" hidden="false" customHeight="false" outlineLevel="0" collapsed="false">
      <c r="A24" s="3" t="s">
        <v>3733</v>
      </c>
      <c r="B24" s="3"/>
      <c r="C24" s="3"/>
      <c r="D24" s="3"/>
      <c r="E24" s="3"/>
      <c r="F24" s="3" t="s">
        <v>3734</v>
      </c>
    </row>
    <row r="25" customFormat="false" ht="15" hidden="false" customHeight="false" outlineLevel="0" collapsed="false">
      <c r="A25" s="3" t="s">
        <v>3735</v>
      </c>
      <c r="B25" s="3"/>
      <c r="C25" s="3"/>
      <c r="D25" s="3"/>
      <c r="E25" s="3"/>
      <c r="F25" s="3" t="s">
        <v>3736</v>
      </c>
    </row>
    <row r="26" customFormat="false" ht="15" hidden="false" customHeight="false" outlineLevel="0" collapsed="false">
      <c r="A26" s="3" t="s">
        <v>3737</v>
      </c>
      <c r="B26" s="3"/>
      <c r="C26" s="3"/>
      <c r="D26" s="3"/>
      <c r="E26" s="3"/>
      <c r="F26" s="3" t="s">
        <v>3738</v>
      </c>
    </row>
    <row r="27" customFormat="false" ht="15" hidden="false" customHeight="false" outlineLevel="0" collapsed="false">
      <c r="A27" s="3" t="s">
        <v>3739</v>
      </c>
      <c r="B27" s="3"/>
      <c r="C27" s="3"/>
      <c r="D27" s="3"/>
      <c r="E27" s="3"/>
      <c r="F27" s="3" t="s">
        <v>3740</v>
      </c>
    </row>
    <row r="28" customFormat="false" ht="15" hidden="false" customHeight="false" outlineLevel="0" collapsed="false">
      <c r="A28" s="3" t="s">
        <v>3741</v>
      </c>
      <c r="B28" s="3"/>
      <c r="C28" s="3"/>
      <c r="D28" s="3"/>
      <c r="E28" s="3"/>
      <c r="F28" s="3" t="s">
        <v>3742</v>
      </c>
    </row>
    <row r="29" customFormat="false" ht="15" hidden="false" customHeight="false" outlineLevel="0" collapsed="false">
      <c r="A29" s="3" t="s">
        <v>3743</v>
      </c>
      <c r="B29" s="3"/>
      <c r="C29" s="3"/>
      <c r="D29" s="3"/>
      <c r="E29" s="3"/>
      <c r="F29" s="3" t="s">
        <v>3744</v>
      </c>
    </row>
    <row r="30" customFormat="false" ht="15" hidden="false" customHeight="false" outlineLevel="0" collapsed="false">
      <c r="A30" s="3" t="s">
        <v>3745</v>
      </c>
      <c r="B30" s="3"/>
      <c r="C30" s="3"/>
      <c r="D30" s="3"/>
      <c r="E30" s="3"/>
      <c r="F30" s="3" t="s">
        <v>3746</v>
      </c>
    </row>
    <row r="31" customFormat="false" ht="15" hidden="false" customHeight="false" outlineLevel="0" collapsed="false">
      <c r="A31" s="3" t="s">
        <v>3747</v>
      </c>
      <c r="B31" s="3"/>
      <c r="C31" s="3"/>
      <c r="D31" s="3"/>
      <c r="E31" s="3"/>
      <c r="F31" s="3" t="s">
        <v>3748</v>
      </c>
    </row>
    <row r="32" customFormat="false" ht="15" hidden="false" customHeight="false" outlineLevel="0" collapsed="false">
      <c r="A32" s="3" t="s">
        <v>3749</v>
      </c>
      <c r="B32" s="3"/>
      <c r="C32" s="3"/>
      <c r="D32" s="3"/>
      <c r="E32" s="3"/>
      <c r="F32" s="3" t="s">
        <v>3750</v>
      </c>
    </row>
    <row r="33" customFormat="false" ht="15" hidden="false" customHeight="false" outlineLevel="0" collapsed="false">
      <c r="A33" s="3" t="s">
        <v>3751</v>
      </c>
      <c r="B33" s="3"/>
      <c r="C33" s="3"/>
      <c r="D33" s="3"/>
      <c r="E33" s="3"/>
      <c r="F33" s="3" t="s">
        <v>3752</v>
      </c>
    </row>
    <row r="34" customFormat="false" ht="15" hidden="false" customHeight="false" outlineLevel="0" collapsed="false">
      <c r="A34" s="3" t="s">
        <v>3753</v>
      </c>
      <c r="B34" s="3"/>
      <c r="C34" s="3"/>
      <c r="D34" s="3"/>
      <c r="E34" s="3"/>
      <c r="F34" s="3" t="s">
        <v>3754</v>
      </c>
    </row>
    <row r="35" customFormat="false" ht="15" hidden="false" customHeight="false" outlineLevel="0" collapsed="false">
      <c r="A35" s="3" t="s">
        <v>3755</v>
      </c>
      <c r="B35" s="3"/>
      <c r="C35" s="3"/>
      <c r="D35" s="3"/>
      <c r="E35" s="3"/>
      <c r="F35" s="3" t="s">
        <v>3756</v>
      </c>
    </row>
    <row r="36" customFormat="false" ht="15" hidden="false" customHeight="false" outlineLevel="0" collapsed="false">
      <c r="A36" s="3" t="s">
        <v>3757</v>
      </c>
      <c r="B36" s="3"/>
      <c r="C36" s="3"/>
      <c r="D36" s="3"/>
      <c r="E36" s="3"/>
      <c r="F36" s="3" t="s">
        <v>3758</v>
      </c>
    </row>
    <row r="37" customFormat="false" ht="15" hidden="false" customHeight="false" outlineLevel="0" collapsed="false">
      <c r="A37" s="3" t="s">
        <v>3759</v>
      </c>
      <c r="B37" s="3"/>
      <c r="C37" s="3"/>
      <c r="D37" s="3"/>
      <c r="E37" s="3"/>
      <c r="F37" s="3" t="s">
        <v>3760</v>
      </c>
    </row>
    <row r="38" customFormat="false" ht="15" hidden="false" customHeight="false" outlineLevel="0" collapsed="false">
      <c r="A38" s="3" t="s">
        <v>3761</v>
      </c>
      <c r="B38" s="3"/>
      <c r="C38" s="3"/>
      <c r="D38" s="3"/>
      <c r="E38" s="3"/>
      <c r="F38" s="3" t="s">
        <v>3762</v>
      </c>
    </row>
    <row r="39" customFormat="false" ht="15" hidden="false" customHeight="false" outlineLevel="0" collapsed="false">
      <c r="A39" s="3" t="s">
        <v>3763</v>
      </c>
      <c r="B39" s="3"/>
      <c r="C39" s="3"/>
      <c r="D39" s="3"/>
      <c r="E39" s="3"/>
      <c r="F39" s="3" t="s">
        <v>3764</v>
      </c>
    </row>
    <row r="40" customFormat="false" ht="15" hidden="false" customHeight="false" outlineLevel="0" collapsed="false">
      <c r="A40" s="3" t="s">
        <v>3765</v>
      </c>
      <c r="B40" s="3"/>
      <c r="C40" s="3"/>
      <c r="D40" s="3"/>
      <c r="E40" s="3"/>
      <c r="F40" s="3" t="s">
        <v>3766</v>
      </c>
    </row>
    <row r="41" customFormat="false" ht="15" hidden="false" customHeight="false" outlineLevel="0" collapsed="false">
      <c r="A41" s="3" t="s">
        <v>3767</v>
      </c>
      <c r="B41" s="3"/>
      <c r="C41" s="3"/>
      <c r="D41" s="3"/>
      <c r="E41" s="3"/>
      <c r="F41" s="3" t="s">
        <v>3768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60"/>
    <col collapsed="false" customWidth="true" hidden="false" outlineLevel="0" max="4" min="4" style="0" width="50"/>
  </cols>
  <sheetData>
    <row r="1" customFormat="false" ht="15" hidden="false" customHeight="false" outlineLevel="0" collapsed="false">
      <c r="A1" s="21" t="s">
        <v>332</v>
      </c>
      <c r="B1" s="21" t="s">
        <v>343</v>
      </c>
      <c r="C1" s="21" t="s">
        <v>3769</v>
      </c>
      <c r="D1" s="21" t="s">
        <v>3770</v>
      </c>
    </row>
    <row r="2" customFormat="false" ht="15" hidden="false" customHeight="false" outlineLevel="0" collapsed="false">
      <c r="A2" s="3" t="s">
        <v>3683</v>
      </c>
      <c r="B2" s="3"/>
      <c r="C2" s="3"/>
      <c r="D2" s="3"/>
    </row>
    <row r="3" customFormat="false" ht="15" hidden="false" customHeight="false" outlineLevel="0" collapsed="false">
      <c r="A3" s="3" t="s">
        <v>1804</v>
      </c>
      <c r="B3" s="3" t="s">
        <v>585</v>
      </c>
      <c r="C3" s="3" t="s">
        <v>371</v>
      </c>
      <c r="D3" s="3" t="s">
        <v>3771</v>
      </c>
    </row>
    <row r="4" customFormat="false" ht="23.85" hidden="false" customHeight="false" outlineLevel="0" collapsed="false">
      <c r="A4" s="3" t="s">
        <v>458</v>
      </c>
      <c r="B4" s="3" t="s">
        <v>3772</v>
      </c>
      <c r="C4" s="3" t="s">
        <v>1793</v>
      </c>
      <c r="D4" s="3" t="s">
        <v>3773</v>
      </c>
    </row>
    <row r="5" customFormat="false" ht="15" hidden="false" customHeight="false" outlineLevel="0" collapsed="false">
      <c r="A5" s="3" t="s">
        <v>797</v>
      </c>
      <c r="B5" s="3" t="s">
        <v>1816</v>
      </c>
      <c r="C5" s="3" t="s">
        <v>1816</v>
      </c>
      <c r="D5" s="3"/>
    </row>
    <row r="6" customFormat="false" ht="15" hidden="false" customHeight="false" outlineLevel="0" collapsed="false">
      <c r="A6" s="3" t="s">
        <v>970</v>
      </c>
      <c r="B6" s="3" t="s">
        <v>1814</v>
      </c>
      <c r="C6" s="3" t="s">
        <v>1814</v>
      </c>
      <c r="D6" s="3" t="s">
        <v>3774</v>
      </c>
    </row>
    <row r="7" customFormat="false" ht="15" hidden="false" customHeight="false" outlineLevel="0" collapsed="false">
      <c r="A7" s="3" t="s">
        <v>504</v>
      </c>
      <c r="B7" s="3" t="s">
        <v>1785</v>
      </c>
      <c r="C7" s="3" t="s">
        <v>1785</v>
      </c>
      <c r="D7" s="3" t="s">
        <v>3774</v>
      </c>
    </row>
    <row r="8" customFormat="false" ht="15" hidden="false" customHeight="false" outlineLevel="0" collapsed="false">
      <c r="A8" s="3" t="s">
        <v>374</v>
      </c>
      <c r="B8" s="3" t="s">
        <v>1745</v>
      </c>
      <c r="C8" s="3" t="s">
        <v>1745</v>
      </c>
      <c r="D8" s="3" t="s">
        <v>3775</v>
      </c>
    </row>
    <row r="9" customFormat="false" ht="15" hidden="false" customHeight="false" outlineLevel="0" collapsed="false">
      <c r="A9" s="3" t="s">
        <v>1101</v>
      </c>
      <c r="B9" s="3" t="s">
        <v>585</v>
      </c>
      <c r="C9" s="3" t="s">
        <v>371</v>
      </c>
      <c r="D9" s="3" t="s">
        <v>3771</v>
      </c>
    </row>
    <row r="10" customFormat="false" ht="15" hidden="false" customHeight="false" outlineLevel="0" collapsed="false">
      <c r="A10" s="3" t="s">
        <v>368</v>
      </c>
      <c r="B10" s="3" t="s">
        <v>1798</v>
      </c>
      <c r="C10" s="3" t="s">
        <v>371</v>
      </c>
      <c r="D10" s="3" t="s">
        <v>3776</v>
      </c>
    </row>
    <row r="11" customFormat="false" ht="15" hidden="false" customHeight="false" outlineLevel="0" collapsed="false">
      <c r="A11" s="3" t="s">
        <v>1483</v>
      </c>
      <c r="B11" s="3" t="s">
        <v>1484</v>
      </c>
      <c r="C11" s="3" t="s">
        <v>371</v>
      </c>
      <c r="D11" s="3" t="s">
        <v>3777</v>
      </c>
    </row>
    <row r="12" customFormat="false" ht="23.85" hidden="false" customHeight="false" outlineLevel="0" collapsed="false">
      <c r="A12" s="3" t="s">
        <v>215</v>
      </c>
      <c r="B12" s="3" t="s">
        <v>1809</v>
      </c>
      <c r="C12" s="3" t="s">
        <v>3778</v>
      </c>
      <c r="D12" s="3" t="s">
        <v>3779</v>
      </c>
    </row>
    <row r="13" customFormat="false" ht="15" hidden="false" customHeight="false" outlineLevel="0" collapsed="false">
      <c r="A13" s="3" t="s">
        <v>561</v>
      </c>
      <c r="B13" s="3" t="s">
        <v>1800</v>
      </c>
      <c r="C13" s="3" t="s">
        <v>371</v>
      </c>
      <c r="D13" s="3" t="s">
        <v>3780</v>
      </c>
    </row>
    <row r="14" customFormat="false" ht="15" hidden="false" customHeight="false" outlineLevel="0" collapsed="false">
      <c r="A14" s="3" t="s">
        <v>487</v>
      </c>
      <c r="B14" s="3" t="s">
        <v>1534</v>
      </c>
      <c r="C14" s="3" t="s">
        <v>1534</v>
      </c>
      <c r="D14" s="3" t="s">
        <v>3781</v>
      </c>
    </row>
    <row r="15" customFormat="false" ht="15" hidden="false" customHeight="false" outlineLevel="0" collapsed="false">
      <c r="A15" s="3" t="s">
        <v>771</v>
      </c>
      <c r="B15" s="3" t="s">
        <v>1795</v>
      </c>
      <c r="C15" s="3" t="s">
        <v>1795</v>
      </c>
      <c r="D15" s="3" t="s">
        <v>3774</v>
      </c>
    </row>
    <row r="16" customFormat="false" ht="23.85" hidden="false" customHeight="false" outlineLevel="0" collapsed="false">
      <c r="A16" s="3" t="s">
        <v>1261</v>
      </c>
      <c r="B16" s="3" t="s">
        <v>1787</v>
      </c>
      <c r="C16" s="3" t="s">
        <v>3782</v>
      </c>
      <c r="D16" s="3" t="s">
        <v>3781</v>
      </c>
    </row>
    <row r="17" customFormat="false" ht="15" hidden="false" customHeight="false" outlineLevel="0" collapsed="false">
      <c r="A17" s="3" t="s">
        <v>1119</v>
      </c>
      <c r="B17" s="3" t="s">
        <v>1806</v>
      </c>
      <c r="C17" s="3" t="s">
        <v>1806</v>
      </c>
      <c r="D17" s="3" t="s">
        <v>3783</v>
      </c>
    </row>
    <row r="18" customFormat="false" ht="15" hidden="false" customHeight="false" outlineLevel="0" collapsed="false">
      <c r="A18" s="3" t="s">
        <v>1276</v>
      </c>
      <c r="B18" s="3" t="s">
        <v>1812</v>
      </c>
      <c r="C18" s="3" t="s">
        <v>1812</v>
      </c>
      <c r="D18" s="3" t="s">
        <v>3784</v>
      </c>
    </row>
    <row r="19" customFormat="false" ht="15" hidden="false" customHeight="false" outlineLevel="0" collapsed="false">
      <c r="A19" s="3" t="s">
        <v>477</v>
      </c>
      <c r="B19" s="3" t="s">
        <v>1790</v>
      </c>
      <c r="C19" s="3" t="s">
        <v>1790</v>
      </c>
      <c r="D19" s="3" t="s">
        <v>3784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0"/>
    <col collapsed="false" customWidth="true" hidden="false" outlineLevel="0" max="4" min="3" style="0" width="14"/>
    <col collapsed="false" customWidth="true" hidden="false" outlineLevel="0" max="5" min="5" style="0" width="18"/>
    <col collapsed="false" customWidth="true" hidden="false" outlineLevel="0" max="6" min="6" style="0" width="26"/>
    <col collapsed="false" customWidth="true" hidden="false" outlineLevel="0" max="7" min="7" style="0" width="22"/>
  </cols>
  <sheetData>
    <row r="1" customFormat="false" ht="15" hidden="false" customHeight="false" outlineLevel="0" collapsed="false">
      <c r="A1" s="21" t="s">
        <v>3785</v>
      </c>
      <c r="B1" s="21" t="s">
        <v>355</v>
      </c>
      <c r="C1" s="21" t="s">
        <v>332</v>
      </c>
      <c r="D1" s="21" t="s">
        <v>3786</v>
      </c>
      <c r="E1" s="21" t="s">
        <v>328</v>
      </c>
      <c r="F1" s="21" t="s">
        <v>37</v>
      </c>
      <c r="G1" s="21" t="s">
        <v>3787</v>
      </c>
    </row>
    <row r="2" customFormat="false" ht="15" hidden="false" customHeight="false" outlineLevel="0" collapsed="false">
      <c r="A2" s="3" t="s">
        <v>3788</v>
      </c>
      <c r="B2" s="3" t="s">
        <v>3789</v>
      </c>
      <c r="C2" s="3" t="s">
        <v>3683</v>
      </c>
      <c r="D2" s="3" t="s">
        <v>3790</v>
      </c>
      <c r="E2" s="3" t="s">
        <v>3791</v>
      </c>
      <c r="F2" s="3" t="s">
        <v>3791</v>
      </c>
      <c r="G2" s="3" t="s">
        <v>3791</v>
      </c>
    </row>
    <row r="3" customFormat="false" ht="15" hidden="false" customHeight="false" outlineLevel="0" collapsed="false">
      <c r="A3" s="3" t="s">
        <v>3792</v>
      </c>
      <c r="B3" s="3" t="s">
        <v>3793</v>
      </c>
      <c r="C3" s="3" t="s">
        <v>215</v>
      </c>
      <c r="D3" s="3" t="s">
        <v>3794</v>
      </c>
      <c r="E3" s="3" t="s">
        <v>3791</v>
      </c>
      <c r="F3" s="3" t="s">
        <v>3795</v>
      </c>
      <c r="G3" s="3" t="s">
        <v>3791</v>
      </c>
    </row>
    <row r="4" customFormat="false" ht="23.85" hidden="false" customHeight="false" outlineLevel="0" collapsed="false">
      <c r="A4" s="3" t="s">
        <v>3796</v>
      </c>
      <c r="B4" s="3" t="s">
        <v>3797</v>
      </c>
      <c r="C4" s="3" t="s">
        <v>1119</v>
      </c>
      <c r="D4" s="3" t="s">
        <v>3790</v>
      </c>
      <c r="E4" s="3" t="s">
        <v>3798</v>
      </c>
      <c r="F4" s="3" t="s">
        <v>3799</v>
      </c>
      <c r="G4" s="3" t="s">
        <v>3791</v>
      </c>
    </row>
    <row r="5" customFormat="false" ht="23.85" hidden="false" customHeight="false" outlineLevel="0" collapsed="false">
      <c r="A5" s="3" t="s">
        <v>3800</v>
      </c>
      <c r="B5" s="3" t="s">
        <v>3801</v>
      </c>
      <c r="C5" s="3" t="s">
        <v>1261</v>
      </c>
      <c r="D5" s="3" t="s">
        <v>1939</v>
      </c>
      <c r="E5" s="3" t="s">
        <v>3802</v>
      </c>
      <c r="F5" s="3" t="s">
        <v>3803</v>
      </c>
      <c r="G5" s="3" t="s">
        <v>3804</v>
      </c>
    </row>
    <row r="6" customFormat="false" ht="23.85" hidden="false" customHeight="false" outlineLevel="0" collapsed="false">
      <c r="A6" s="3" t="s">
        <v>3805</v>
      </c>
      <c r="B6" s="3" t="s">
        <v>3806</v>
      </c>
      <c r="C6" s="3" t="s">
        <v>368</v>
      </c>
      <c r="D6" s="3" t="s">
        <v>1451</v>
      </c>
      <c r="E6" s="3" t="s">
        <v>3807</v>
      </c>
      <c r="F6" s="3" t="s">
        <v>3808</v>
      </c>
      <c r="G6" s="3" t="s">
        <v>3809</v>
      </c>
    </row>
    <row r="7" customFormat="false" ht="15" hidden="false" customHeight="false" outlineLevel="0" collapsed="false">
      <c r="A7" s="3" t="s">
        <v>3810</v>
      </c>
      <c r="B7" s="3" t="s">
        <v>3811</v>
      </c>
      <c r="C7" s="3" t="s">
        <v>1261</v>
      </c>
      <c r="D7" s="3" t="s">
        <v>1613</v>
      </c>
      <c r="E7" s="3" t="s">
        <v>3791</v>
      </c>
      <c r="F7" s="3" t="s">
        <v>3812</v>
      </c>
      <c r="G7" s="3" t="s">
        <v>3813</v>
      </c>
    </row>
    <row r="8" customFormat="false" ht="15" hidden="false" customHeight="false" outlineLevel="0" collapsed="false">
      <c r="A8" s="3" t="s">
        <v>3814</v>
      </c>
      <c r="B8" s="3" t="s">
        <v>3815</v>
      </c>
      <c r="C8" s="3" t="s">
        <v>1276</v>
      </c>
      <c r="D8" s="3" t="s">
        <v>1618</v>
      </c>
      <c r="E8" s="3" t="s">
        <v>3791</v>
      </c>
      <c r="F8" s="3" t="s">
        <v>3816</v>
      </c>
      <c r="G8" s="3" t="s">
        <v>3813</v>
      </c>
    </row>
    <row r="9" customFormat="false" ht="15" hidden="false" customHeight="false" outlineLevel="0" collapsed="false">
      <c r="A9" s="3" t="s">
        <v>3817</v>
      </c>
      <c r="B9" s="3" t="s">
        <v>3818</v>
      </c>
      <c r="C9" s="3" t="s">
        <v>215</v>
      </c>
      <c r="D9" s="3" t="s">
        <v>1939</v>
      </c>
      <c r="E9" s="3" t="s">
        <v>3791</v>
      </c>
      <c r="F9" s="3" t="s">
        <v>3819</v>
      </c>
      <c r="G9" s="3" t="s">
        <v>3813</v>
      </c>
    </row>
    <row r="10" customFormat="false" ht="15" hidden="false" customHeight="false" outlineLevel="0" collapsed="false">
      <c r="A10" s="3" t="s">
        <v>3820</v>
      </c>
      <c r="B10" s="3" t="s">
        <v>3821</v>
      </c>
      <c r="C10" s="3" t="s">
        <v>374</v>
      </c>
      <c r="D10" s="3" t="s">
        <v>2719</v>
      </c>
      <c r="E10" s="3" t="s">
        <v>3791</v>
      </c>
      <c r="F10" s="3" t="s">
        <v>3822</v>
      </c>
      <c r="G10" s="3" t="s">
        <v>3823</v>
      </c>
    </row>
    <row r="11" customFormat="false" ht="15" hidden="false" customHeight="false" outlineLevel="0" collapsed="false">
      <c r="A11" s="3" t="s">
        <v>3824</v>
      </c>
      <c r="B11" s="3" t="s">
        <v>3825</v>
      </c>
      <c r="C11" s="3" t="s">
        <v>368</v>
      </c>
      <c r="D11" s="3" t="s">
        <v>2640</v>
      </c>
      <c r="E11" s="3" t="s">
        <v>3791</v>
      </c>
      <c r="F11" s="3" t="s">
        <v>3826</v>
      </c>
      <c r="G11" s="3" t="s">
        <v>3827</v>
      </c>
    </row>
    <row r="12" customFormat="false" ht="15" hidden="false" customHeight="false" outlineLevel="0" collapsed="false">
      <c r="A12" s="3" t="s">
        <v>3828</v>
      </c>
      <c r="B12" s="3" t="s">
        <v>3829</v>
      </c>
      <c r="C12" s="3" t="s">
        <v>487</v>
      </c>
      <c r="D12" s="3" t="s">
        <v>1637</v>
      </c>
      <c r="E12" s="3" t="s">
        <v>3791</v>
      </c>
      <c r="F12" s="3" t="s">
        <v>3830</v>
      </c>
      <c r="G12" s="3" t="s">
        <v>3813</v>
      </c>
    </row>
    <row r="13" customFormat="false" ht="15" hidden="false" customHeight="false" outlineLevel="0" collapsed="false">
      <c r="A13" s="3" t="s">
        <v>1982</v>
      </c>
      <c r="B13" s="3" t="s">
        <v>3831</v>
      </c>
      <c r="C13" s="3" t="s">
        <v>215</v>
      </c>
      <c r="D13" s="3" t="s">
        <v>1939</v>
      </c>
      <c r="E13" s="3" t="s">
        <v>3791</v>
      </c>
      <c r="F13" s="3" t="s">
        <v>3832</v>
      </c>
      <c r="G13" s="3" t="s">
        <v>3833</v>
      </c>
    </row>
    <row r="14" customFormat="false" ht="23.85" hidden="false" customHeight="false" outlineLevel="0" collapsed="false">
      <c r="A14" s="3" t="s">
        <v>3834</v>
      </c>
      <c r="B14" s="3" t="s">
        <v>3835</v>
      </c>
      <c r="C14" s="3" t="s">
        <v>1276</v>
      </c>
      <c r="D14" s="3" t="s">
        <v>3790</v>
      </c>
      <c r="E14" s="3" t="s">
        <v>3836</v>
      </c>
      <c r="F14" s="3" t="s">
        <v>3837</v>
      </c>
      <c r="G14" s="3" t="s">
        <v>3813</v>
      </c>
    </row>
    <row r="15" customFormat="false" ht="15" hidden="false" customHeight="false" outlineLevel="0" collapsed="false">
      <c r="A15" s="3" t="s">
        <v>3838</v>
      </c>
      <c r="B15" s="3" t="s">
        <v>3839</v>
      </c>
      <c r="C15" s="3" t="s">
        <v>374</v>
      </c>
      <c r="D15" s="3" t="s">
        <v>2744</v>
      </c>
      <c r="E15" s="3" t="s">
        <v>3791</v>
      </c>
      <c r="F15" s="3" t="s">
        <v>3840</v>
      </c>
      <c r="G15" s="3" t="s">
        <v>3813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90"/>
  </cols>
  <sheetData>
    <row r="1" customFormat="false" ht="15" hidden="false" customHeight="false" outlineLevel="0" collapsed="false">
      <c r="A1" s="21" t="s">
        <v>3841</v>
      </c>
      <c r="B1" s="21" t="s">
        <v>3842</v>
      </c>
      <c r="C1" s="21" t="s">
        <v>3843</v>
      </c>
    </row>
    <row r="2" customFormat="false" ht="15" hidden="false" customHeight="false" outlineLevel="0" collapsed="false">
      <c r="A2" s="2" t="s">
        <v>3844</v>
      </c>
      <c r="B2" s="4" t="n">
        <v>330</v>
      </c>
      <c r="C2" s="3" t="s">
        <v>3845</v>
      </c>
    </row>
    <row r="3" customFormat="false" ht="15" hidden="false" customHeight="false" outlineLevel="0" collapsed="false">
      <c r="A3" s="2" t="s">
        <v>3846</v>
      </c>
      <c r="B3" s="4" t="n">
        <v>8</v>
      </c>
      <c r="C3" s="3" t="s">
        <v>3847</v>
      </c>
    </row>
    <row r="4" customFormat="false" ht="15" hidden="false" customHeight="false" outlineLevel="0" collapsed="false">
      <c r="A4" s="2" t="s">
        <v>3848</v>
      </c>
      <c r="B4" s="4" t="n">
        <v>135</v>
      </c>
      <c r="C4" s="3" t="s">
        <v>3849</v>
      </c>
    </row>
    <row r="5" customFormat="false" ht="15" hidden="false" customHeight="false" outlineLevel="0" collapsed="false">
      <c r="A5" s="2" t="s">
        <v>3850</v>
      </c>
      <c r="B5" s="4" t="n">
        <v>25</v>
      </c>
      <c r="C5" s="3" t="s">
        <v>3851</v>
      </c>
    </row>
    <row r="6" customFormat="false" ht="15" hidden="false" customHeight="false" outlineLevel="0" collapsed="false">
      <c r="A6" s="2" t="s">
        <v>3852</v>
      </c>
      <c r="B6" s="4" t="n">
        <v>0.3</v>
      </c>
      <c r="C6" s="3" t="s">
        <v>3853</v>
      </c>
    </row>
    <row r="7" customFormat="false" ht="15" hidden="false" customHeight="false" outlineLevel="0" collapsed="false">
      <c r="A7" s="2" t="s">
        <v>3854</v>
      </c>
      <c r="B7" s="4" t="n">
        <v>35</v>
      </c>
      <c r="C7" s="3" t="s">
        <v>3855</v>
      </c>
    </row>
    <row r="8" customFormat="false" ht="15" hidden="false" customHeight="false" outlineLevel="0" collapsed="false">
      <c r="A8" s="2" t="s">
        <v>3856</v>
      </c>
      <c r="B8" s="4" t="n">
        <v>20</v>
      </c>
      <c r="C8" s="3" t="s">
        <v>3857</v>
      </c>
    </row>
    <row r="9" customFormat="false" ht="15" hidden="false" customHeight="false" outlineLevel="0" collapsed="false">
      <c r="A9" s="2" t="s">
        <v>3858</v>
      </c>
      <c r="B9" s="4" t="n">
        <v>220</v>
      </c>
      <c r="C9" s="3" t="s">
        <v>3859</v>
      </c>
    </row>
    <row r="10" customFormat="false" ht="15" hidden="false" customHeight="false" outlineLevel="0" collapsed="false">
      <c r="A10" s="2" t="s">
        <v>3860</v>
      </c>
      <c r="B10" s="4" t="n">
        <v>4</v>
      </c>
      <c r="C10" s="3" t="s">
        <v>3861</v>
      </c>
    </row>
    <row r="11" customFormat="false" ht="15" hidden="false" customHeight="false" outlineLevel="0" collapsed="false">
      <c r="A11" s="2" t="s">
        <v>3862</v>
      </c>
      <c r="B11" s="4" t="n">
        <v>0.5</v>
      </c>
      <c r="C11" s="3" t="s">
        <v>3863</v>
      </c>
    </row>
    <row r="12" customFormat="false" ht="15" hidden="false" customHeight="false" outlineLevel="0" collapsed="false">
      <c r="A12" s="2" t="s">
        <v>3864</v>
      </c>
      <c r="B12" s="4" t="n">
        <v>0.25</v>
      </c>
      <c r="C12" s="3" t="s">
        <v>3865</v>
      </c>
    </row>
    <row r="13" customFormat="false" ht="15" hidden="false" customHeight="false" outlineLevel="0" collapsed="false">
      <c r="A13" s="2" t="s">
        <v>3866</v>
      </c>
      <c r="B13" s="4" t="n">
        <v>0.25</v>
      </c>
      <c r="C13" s="3" t="s">
        <v>3867</v>
      </c>
    </row>
    <row r="14" customFormat="false" ht="15" hidden="false" customHeight="false" outlineLevel="0" collapsed="false">
      <c r="A14" s="2" t="s">
        <v>3868</v>
      </c>
      <c r="B14" s="4" t="n">
        <v>0.5</v>
      </c>
      <c r="C14" s="3" t="s">
        <v>3869</v>
      </c>
    </row>
    <row r="15" customFormat="false" ht="15" hidden="false" customHeight="false" outlineLevel="0" collapsed="false">
      <c r="A15" s="2" t="s">
        <v>3870</v>
      </c>
      <c r="B15" s="4" t="n">
        <v>0.5</v>
      </c>
      <c r="C15" s="3" t="s">
        <v>3871</v>
      </c>
    </row>
    <row r="16" customFormat="false" ht="15" hidden="false" customHeight="false" outlineLevel="0" collapsed="false">
      <c r="A16" s="2" t="s">
        <v>3872</v>
      </c>
      <c r="B16" s="4" t="n">
        <v>0.01</v>
      </c>
      <c r="C16" s="3" t="s">
        <v>3873</v>
      </c>
    </row>
    <row r="17" customFormat="false" ht="15" hidden="false" customHeight="false" outlineLevel="0" collapsed="false">
      <c r="A17" s="2" t="s">
        <v>3874</v>
      </c>
      <c r="B17" s="4" t="n">
        <v>0.025</v>
      </c>
      <c r="C17" s="3" t="s">
        <v>3875</v>
      </c>
    </row>
    <row r="18" customFormat="false" ht="15" hidden="false" customHeight="false" outlineLevel="0" collapsed="false">
      <c r="A18" s="2" t="s">
        <v>3876</v>
      </c>
      <c r="B18" s="4" t="n">
        <v>12</v>
      </c>
      <c r="C18" s="3" t="s">
        <v>3877</v>
      </c>
    </row>
    <row r="19" customFormat="false" ht="15" hidden="false" customHeight="false" outlineLevel="0" collapsed="false">
      <c r="A19" s="2" t="s">
        <v>3878</v>
      </c>
      <c r="B19" s="4" t="n">
        <v>6</v>
      </c>
      <c r="C19" s="3" t="s">
        <v>3879</v>
      </c>
    </row>
    <row r="20" customFormat="false" ht="15" hidden="false" customHeight="false" outlineLevel="0" collapsed="false">
      <c r="A20" s="2" t="s">
        <v>3880</v>
      </c>
      <c r="B20" s="4" t="n">
        <v>10</v>
      </c>
      <c r="C20" s="3" t="s">
        <v>3881</v>
      </c>
    </row>
    <row r="21" customFormat="false" ht="15" hidden="false" customHeight="false" outlineLevel="0" collapsed="false">
      <c r="A21" s="2" t="s">
        <v>3882</v>
      </c>
      <c r="B21" s="4" t="n">
        <v>30</v>
      </c>
      <c r="C21" s="3" t="s">
        <v>3883</v>
      </c>
    </row>
    <row r="22" customFormat="false" ht="15" hidden="false" customHeight="false" outlineLevel="0" collapsed="false">
      <c r="A22" s="2" t="s">
        <v>3884</v>
      </c>
      <c r="B22" s="4" t="n">
        <v>5</v>
      </c>
      <c r="C22" s="3" t="s">
        <v>3885</v>
      </c>
    </row>
    <row r="23" customFormat="false" ht="15" hidden="false" customHeight="false" outlineLevel="0" collapsed="false">
      <c r="A23" s="2" t="s">
        <v>3886</v>
      </c>
      <c r="B23" s="4" t="n">
        <v>0.065</v>
      </c>
      <c r="C23" s="3" t="s">
        <v>3887</v>
      </c>
    </row>
    <row r="24" customFormat="false" ht="15" hidden="false" customHeight="false" outlineLevel="0" collapsed="false">
      <c r="A24" s="2" t="s">
        <v>3888</v>
      </c>
      <c r="B24" s="4" t="n">
        <v>0.025</v>
      </c>
      <c r="C24" s="3" t="s">
        <v>3889</v>
      </c>
    </row>
    <row r="25" customFormat="false" ht="15" hidden="false" customHeight="false" outlineLevel="0" collapsed="false">
      <c r="A25" s="2" t="s">
        <v>3890</v>
      </c>
      <c r="B25" s="4" t="n">
        <v>0.065</v>
      </c>
      <c r="C25" s="3" t="s">
        <v>3891</v>
      </c>
    </row>
    <row r="26" customFormat="false" ht="15" hidden="false" customHeight="false" outlineLevel="0" collapsed="false">
      <c r="A26" s="2" t="s">
        <v>3892</v>
      </c>
      <c r="B26" s="4" t="n">
        <v>0.025</v>
      </c>
      <c r="C26" s="3" t="s">
        <v>3893</v>
      </c>
    </row>
    <row r="27" customFormat="false" ht="15" hidden="false" customHeight="false" outlineLevel="0" collapsed="false">
      <c r="A27" s="2" t="s">
        <v>3894</v>
      </c>
      <c r="B27" s="4" t="n">
        <v>0.02</v>
      </c>
      <c r="C27" s="3" t="s">
        <v>3895</v>
      </c>
    </row>
    <row r="28" customFormat="false" ht="15" hidden="false" customHeight="false" outlineLevel="0" collapsed="false">
      <c r="A28" s="2" t="s">
        <v>3896</v>
      </c>
      <c r="B28" s="4" t="n">
        <v>52</v>
      </c>
      <c r="C28" s="3" t="s">
        <v>3897</v>
      </c>
    </row>
    <row r="29" customFormat="false" ht="15" hidden="false" customHeight="false" outlineLevel="0" collapsed="false">
      <c r="A29" s="2" t="s">
        <v>3898</v>
      </c>
      <c r="B29" s="4" t="n">
        <v>15</v>
      </c>
      <c r="C29" s="3" t="s">
        <v>3899</v>
      </c>
    </row>
    <row r="30" customFormat="false" ht="15" hidden="false" customHeight="false" outlineLevel="0" collapsed="false">
      <c r="A30" s="2" t="s">
        <v>3900</v>
      </c>
      <c r="B30" s="4" t="n">
        <v>10</v>
      </c>
      <c r="C30" s="3" t="s">
        <v>3901</v>
      </c>
    </row>
    <row r="32" customFormat="false" ht="15" hidden="false" customHeight="false" outlineLevel="0" collapsed="false">
      <c r="A32" s="6" t="s">
        <v>3902</v>
      </c>
    </row>
    <row r="33" customFormat="false" ht="15" hidden="false" customHeight="false" outlineLevel="0" collapsed="false">
      <c r="A33" s="21" t="s">
        <v>3199</v>
      </c>
      <c r="B33" s="21" t="s">
        <v>3903</v>
      </c>
      <c r="C33" s="21" t="s">
        <v>3904</v>
      </c>
    </row>
    <row r="34" customFormat="false" ht="15" hidden="false" customHeight="false" outlineLevel="0" collapsed="false">
      <c r="A34" s="4" t="s">
        <v>3433</v>
      </c>
      <c r="B34" s="4" t="s">
        <v>152</v>
      </c>
      <c r="C34" s="4" t="s">
        <v>3905</v>
      </c>
    </row>
    <row r="35" customFormat="false" ht="15" hidden="false" customHeight="false" outlineLevel="0" collapsed="false">
      <c r="A35" s="4" t="s">
        <v>3433</v>
      </c>
      <c r="B35" s="4" t="s">
        <v>3200</v>
      </c>
      <c r="C35" s="4" t="s">
        <v>3906</v>
      </c>
    </row>
    <row r="36" customFormat="false" ht="15" hidden="false" customHeight="false" outlineLevel="0" collapsed="false">
      <c r="A36" s="4" t="s">
        <v>3433</v>
      </c>
      <c r="B36" s="4" t="s">
        <v>3201</v>
      </c>
      <c r="C36" s="4" t="s">
        <v>3907</v>
      </c>
    </row>
    <row r="37" customFormat="false" ht="15" hidden="false" customHeight="false" outlineLevel="0" collapsed="false">
      <c r="A37" s="4" t="s">
        <v>3205</v>
      </c>
      <c r="B37" s="4" t="s">
        <v>152</v>
      </c>
      <c r="C37" s="4" t="s">
        <v>3908</v>
      </c>
    </row>
    <row r="38" customFormat="false" ht="15" hidden="false" customHeight="false" outlineLevel="0" collapsed="false">
      <c r="A38" s="4" t="s">
        <v>3205</v>
      </c>
      <c r="B38" s="4" t="s">
        <v>3200</v>
      </c>
      <c r="C38" s="4" t="s">
        <v>3906</v>
      </c>
    </row>
    <row r="39" customFormat="false" ht="15" hidden="false" customHeight="false" outlineLevel="0" collapsed="false">
      <c r="A39" s="4" t="s">
        <v>3205</v>
      </c>
      <c r="B39" s="4" t="s">
        <v>3201</v>
      </c>
      <c r="C39" s="4" t="s">
        <v>3907</v>
      </c>
    </row>
    <row r="40" customFormat="false" ht="15" hidden="false" customHeight="false" outlineLevel="0" collapsed="false">
      <c r="A40" s="4" t="s">
        <v>3535</v>
      </c>
      <c r="B40" s="4" t="s">
        <v>152</v>
      </c>
      <c r="C40" s="4" t="s">
        <v>3905</v>
      </c>
    </row>
    <row r="41" customFormat="false" ht="15" hidden="false" customHeight="false" outlineLevel="0" collapsed="false">
      <c r="A41" s="4" t="s">
        <v>3621</v>
      </c>
      <c r="B41" s="4" t="s">
        <v>152</v>
      </c>
      <c r="C41" s="4" t="s">
        <v>3909</v>
      </c>
    </row>
    <row r="42" customFormat="false" ht="15" hidden="false" customHeight="false" outlineLevel="0" collapsed="false">
      <c r="A42" s="4" t="s">
        <v>3592</v>
      </c>
      <c r="B42" s="4" t="s">
        <v>152</v>
      </c>
      <c r="C42" s="4" t="s">
        <v>3910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2026-10-25T02:15:35Z</dcterms:created>
  <dc:creator>openpyxl</dc:creator>
  <dc:description/>
  <dc:language>en-US</dc:language>
  <cp:lastModifiedBy/>
  <dcterms:modified xsi:type="dcterms:W3CDTF">2026-10-25T02:15:35Z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